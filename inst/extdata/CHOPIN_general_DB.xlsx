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fmounier\Documents\CHOPIN\chopin.data\inst\extdata\"/>
    </mc:Choice>
  </mc:AlternateContent>
  <xr:revisionPtr revIDLastSave="0" documentId="13_ncr:1_{BBA2C208-BE91-41E9-BFBC-2350A0D2B675}" xr6:coauthVersionLast="47" xr6:coauthVersionMax="47" xr10:uidLastSave="{00000000-0000-0000-0000-000000000000}"/>
  <bookViews>
    <workbookView xWindow="-108" yWindow="-108" windowWidth="23256" windowHeight="13896" tabRatio="770" firstSheet="4" activeTab="5" xr2:uid="{00000000-000D-0000-FFFF-FFFF00000000}"/>
  </bookViews>
  <sheets>
    <sheet name="INFO_BDD" sheetId="6" r:id="rId1"/>
    <sheet name="INFO_contam" sheetId="7" r:id="rId2"/>
    <sheet name="INFO_benthos" sheetId="12" r:id="rId3"/>
    <sheet name="INFO_BDD_biomark" sheetId="13" r:id="rId4"/>
    <sheet name="sediment" sheetId="1" r:id="rId5"/>
    <sheet name="benthos" sheetId="2" r:id="rId6"/>
    <sheet name="soles" sheetId="4" r:id="rId7"/>
    <sheet name="solesG0pools" sheetId="9" r:id="rId8"/>
    <sheet name="soles_G2_organotr" sheetId="8" r:id="rId9"/>
    <sheet name="isotopes_benth_CAPES" sheetId="11" r:id="rId10"/>
    <sheet name="isotopes_fish_CAPES" sheetId="10" r:id="rId11"/>
    <sheet name="sole_biomark" sheetId="14" r:id="rId12"/>
    <sheet name="sole_G0pool_biomark" sheetId="15" r:id="rId13"/>
  </sheets>
  <definedNames>
    <definedName name="_xlnm._FilterDatabase" localSheetId="5" hidden="1">benthos!$A$1:$BK$51</definedName>
    <definedName name="_xlnm._FilterDatabase" localSheetId="10">isotopes_fish_CAPES!$A$1:$O$176</definedName>
    <definedName name="_xlnm._FilterDatabase" localSheetId="4" hidden="1">sediment!$A$1:$CD$25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1" l="1"/>
  <c r="O3" i="1" s="1"/>
  <c r="M4" i="1"/>
  <c r="O4" i="1" s="1"/>
  <c r="M5" i="1"/>
  <c r="M6" i="1"/>
  <c r="M7" i="1"/>
  <c r="O7" i="1" s="1"/>
  <c r="M8" i="1"/>
  <c r="M9" i="1"/>
  <c r="M10" i="1"/>
  <c r="M11" i="1"/>
  <c r="M12" i="1"/>
  <c r="M13" i="1"/>
  <c r="O13" i="1" s="1"/>
  <c r="M14" i="1"/>
  <c r="O14" i="1" s="1"/>
  <c r="M15" i="1"/>
  <c r="O15" i="1" s="1"/>
  <c r="M16" i="1"/>
  <c r="O16" i="1" s="1"/>
  <c r="M17" i="1"/>
  <c r="M18" i="1"/>
  <c r="M19" i="1"/>
  <c r="O19" i="1" s="1"/>
  <c r="M20" i="1"/>
  <c r="O20" i="1" s="1"/>
  <c r="M21" i="1"/>
  <c r="O21" i="1" s="1"/>
  <c r="M22" i="1"/>
  <c r="O22" i="1" s="1"/>
  <c r="M23" i="1"/>
  <c r="O23" i="1" s="1"/>
  <c r="M24" i="1"/>
  <c r="O24" i="1" s="1"/>
  <c r="M25" i="1"/>
  <c r="O25" i="1" s="1"/>
  <c r="O2" i="1"/>
  <c r="M2" i="1"/>
  <c r="N304" i="9"/>
  <c r="N303" i="9"/>
  <c r="N302" i="9"/>
  <c r="N301" i="9"/>
  <c r="N300" i="9"/>
  <c r="N299" i="9"/>
  <c r="N298" i="9"/>
  <c r="N297" i="9"/>
  <c r="N296" i="9"/>
  <c r="N295" i="9"/>
  <c r="N294" i="9"/>
  <c r="N293" i="9"/>
  <c r="N292" i="9"/>
  <c r="N291" i="9"/>
  <c r="N290" i="9"/>
  <c r="N289" i="9"/>
  <c r="N288" i="9"/>
  <c r="N287" i="9"/>
  <c r="N286" i="9"/>
  <c r="N285" i="9"/>
  <c r="N284" i="9"/>
  <c r="N283" i="9"/>
  <c r="N282" i="9"/>
  <c r="N281" i="9"/>
  <c r="N280" i="9"/>
  <c r="N279" i="9"/>
  <c r="N278" i="9"/>
  <c r="N277" i="9"/>
  <c r="N276" i="9"/>
  <c r="N275" i="9"/>
  <c r="N274" i="9"/>
  <c r="N273" i="9"/>
  <c r="N272" i="9"/>
  <c r="N271" i="9"/>
  <c r="N270" i="9"/>
  <c r="N269" i="9"/>
  <c r="N268" i="9"/>
  <c r="N267" i="9"/>
  <c r="N266" i="9"/>
  <c r="N265" i="9"/>
  <c r="N264" i="9"/>
  <c r="N263" i="9"/>
  <c r="N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N245" i="9"/>
  <c r="N244" i="9"/>
  <c r="N243" i="9"/>
  <c r="N242" i="9"/>
  <c r="N241" i="9"/>
  <c r="N240" i="9"/>
  <c r="N239" i="9"/>
  <c r="N238" i="9"/>
  <c r="N237" i="9"/>
  <c r="N236" i="9"/>
  <c r="N235" i="9"/>
  <c r="N234" i="9"/>
  <c r="N233" i="9"/>
  <c r="N232" i="9"/>
  <c r="N231" i="9"/>
  <c r="N230" i="9"/>
  <c r="N229" i="9"/>
  <c r="N228" i="9"/>
  <c r="N227" i="9"/>
  <c r="N226" i="9"/>
  <c r="M226" i="9"/>
  <c r="N225" i="9"/>
  <c r="N224" i="9"/>
  <c r="N223" i="9"/>
  <c r="N222" i="9"/>
  <c r="N221" i="9"/>
  <c r="N220" i="9"/>
  <c r="M220" i="9"/>
  <c r="N219" i="9"/>
  <c r="N218" i="9"/>
  <c r="N217" i="9"/>
  <c r="N216" i="9"/>
  <c r="N215" i="9"/>
  <c r="N214" i="9"/>
  <c r="N213" i="9"/>
  <c r="N212" i="9"/>
  <c r="N211" i="9"/>
  <c r="J210" i="9"/>
  <c r="N210" i="9" s="1"/>
  <c r="N209" i="9"/>
  <c r="N208" i="9"/>
  <c r="N207" i="9"/>
  <c r="N206" i="9"/>
  <c r="N205" i="9"/>
  <c r="N204" i="9"/>
  <c r="N203" i="9"/>
  <c r="N202" i="9"/>
  <c r="N201" i="9"/>
  <c r="N200" i="9"/>
  <c r="N199" i="9"/>
  <c r="N198" i="9"/>
  <c r="N197" i="9"/>
  <c r="N196" i="9"/>
  <c r="N195" i="9"/>
  <c r="N194" i="9"/>
  <c r="N193" i="9"/>
  <c r="N192" i="9"/>
  <c r="N191" i="9"/>
  <c r="N190" i="9"/>
  <c r="N189" i="9"/>
  <c r="N188" i="9"/>
  <c r="N187" i="9"/>
  <c r="N186" i="9"/>
  <c r="N185" i="9"/>
  <c r="N184" i="9"/>
  <c r="N183" i="9"/>
  <c r="N182" i="9"/>
  <c r="N181" i="9"/>
  <c r="N180" i="9"/>
  <c r="N179" i="9"/>
  <c r="N178" i="9"/>
  <c r="N177" i="9"/>
  <c r="N176" i="9"/>
  <c r="N175" i="9"/>
  <c r="N174" i="9"/>
  <c r="N173" i="9"/>
  <c r="N172" i="9"/>
  <c r="N171" i="9"/>
  <c r="N170" i="9"/>
  <c r="N169" i="9"/>
  <c r="N168" i="9"/>
  <c r="N167" i="9"/>
  <c r="N166" i="9"/>
  <c r="N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O17" i="4"/>
  <c r="N17" i="4"/>
  <c r="L17" i="4"/>
  <c r="K17" i="4"/>
  <c r="O16" i="4"/>
  <c r="N16" i="4"/>
  <c r="L16" i="4"/>
  <c r="K16" i="4"/>
  <c r="O15" i="4"/>
  <c r="N15" i="4"/>
  <c r="L15" i="4"/>
  <c r="K15" i="4"/>
  <c r="O14" i="4"/>
  <c r="N14" i="4"/>
  <c r="L14" i="4"/>
  <c r="K14" i="4"/>
  <c r="O13" i="4"/>
  <c r="N13" i="4"/>
  <c r="L13" i="4"/>
  <c r="K13" i="4"/>
  <c r="O12" i="4"/>
  <c r="N12" i="4"/>
  <c r="L12" i="4"/>
  <c r="K12" i="4"/>
  <c r="O11" i="4"/>
  <c r="N11" i="4"/>
  <c r="L11" i="4"/>
  <c r="K11" i="4"/>
  <c r="O10" i="4"/>
  <c r="N10" i="4"/>
  <c r="L10" i="4"/>
  <c r="K10" i="4"/>
  <c r="O9" i="4"/>
  <c r="N9" i="4"/>
  <c r="L9" i="4"/>
  <c r="K9" i="4"/>
  <c r="L8" i="4"/>
  <c r="K8" i="4"/>
  <c r="O7" i="4"/>
  <c r="N7" i="4"/>
  <c r="M7" i="4"/>
  <c r="L7" i="4"/>
  <c r="K7" i="4"/>
  <c r="O6" i="4"/>
  <c r="N6" i="4"/>
  <c r="M6" i="4"/>
  <c r="L6" i="4"/>
  <c r="K6" i="4"/>
  <c r="O5" i="4"/>
  <c r="N5" i="4"/>
  <c r="M5" i="4"/>
  <c r="L5" i="4"/>
  <c r="K5" i="4"/>
  <c r="O4" i="4"/>
  <c r="N4" i="4"/>
  <c r="M4" i="4"/>
  <c r="L4" i="4"/>
  <c r="K4" i="4"/>
  <c r="O3" i="4"/>
  <c r="N3" i="4"/>
  <c r="M3" i="4"/>
  <c r="L3" i="4"/>
  <c r="K3" i="4"/>
  <c r="O2" i="4"/>
  <c r="N2" i="4"/>
  <c r="M2" i="4"/>
  <c r="L2" i="4"/>
  <c r="K2" i="4"/>
  <c r="N25" i="1"/>
  <c r="P25" i="1" s="1"/>
  <c r="N24" i="1"/>
  <c r="P24" i="1" s="1"/>
  <c r="N23" i="1"/>
  <c r="P23" i="1" s="1"/>
  <c r="N22" i="1"/>
  <c r="P22" i="1" s="1"/>
  <c r="N21" i="1"/>
  <c r="P21" i="1" s="1"/>
  <c r="N20" i="1"/>
  <c r="P20" i="1" s="1"/>
  <c r="N19" i="1"/>
  <c r="P19" i="1" s="1"/>
  <c r="N18" i="1"/>
  <c r="P18" i="1" s="1"/>
  <c r="O18" i="1"/>
  <c r="Z17" i="1"/>
  <c r="N17" i="1"/>
  <c r="P17" i="1" s="1"/>
  <c r="O17" i="1"/>
  <c r="Z16" i="1"/>
  <c r="N16" i="1"/>
  <c r="P16" i="1" s="1"/>
  <c r="Z15" i="1"/>
  <c r="N15" i="1"/>
  <c r="P15" i="1" s="1"/>
  <c r="Z14" i="1"/>
  <c r="N14" i="1"/>
  <c r="P14" i="1" s="1"/>
  <c r="Z13" i="1"/>
  <c r="N13" i="1"/>
  <c r="P13" i="1" s="1"/>
  <c r="Z12" i="1"/>
  <c r="N12" i="1"/>
  <c r="P12" i="1" s="1"/>
  <c r="O12" i="1"/>
  <c r="Z11" i="1"/>
  <c r="N11" i="1"/>
  <c r="P11" i="1" s="1"/>
  <c r="O11" i="1"/>
  <c r="Z10" i="1"/>
  <c r="N10" i="1"/>
  <c r="P10" i="1" s="1"/>
  <c r="O10" i="1"/>
  <c r="Z9" i="1"/>
  <c r="N9" i="1"/>
  <c r="P9" i="1" s="1"/>
  <c r="O9" i="1"/>
  <c r="Z8" i="1"/>
  <c r="N8" i="1"/>
  <c r="P8" i="1" s="1"/>
  <c r="Z7" i="1"/>
  <c r="N7" i="1"/>
  <c r="P7" i="1" s="1"/>
  <c r="Z6" i="1"/>
  <c r="N6" i="1"/>
  <c r="P6" i="1" s="1"/>
  <c r="O6" i="1"/>
  <c r="Z5" i="1"/>
  <c r="N5" i="1"/>
  <c r="P5" i="1" s="1"/>
  <c r="O5" i="1"/>
  <c r="Z4" i="1"/>
  <c r="N4" i="1"/>
  <c r="P4" i="1" s="1"/>
  <c r="Z3" i="1"/>
  <c r="N3" i="1"/>
  <c r="P3" i="1" s="1"/>
  <c r="Z2" i="1"/>
  <c r="N2" i="1"/>
  <c r="P2" i="1" s="1"/>
  <c r="L25" i="12"/>
  <c r="L19" i="12"/>
  <c r="L17" i="12"/>
  <c r="L13" i="12"/>
  <c r="L12" i="12"/>
  <c r="L11" i="12"/>
  <c r="L10" i="12"/>
  <c r="L9" i="12"/>
  <c r="L8" i="12"/>
  <c r="L7" i="12"/>
  <c r="L6" i="12"/>
  <c r="L5" i="12"/>
  <c r="L4" i="12"/>
  <c r="L3" i="12"/>
  <c r="L2" i="12"/>
  <c r="Q4" i="1" l="1"/>
  <c r="Q24" i="1"/>
  <c r="AA8" i="1"/>
  <c r="AA3" i="1"/>
  <c r="AA14" i="1"/>
  <c r="Q21" i="1"/>
  <c r="Q25" i="1"/>
  <c r="Q3" i="1"/>
  <c r="AA9" i="1"/>
  <c r="AA12" i="1"/>
  <c r="O8" i="1"/>
  <c r="Q8" i="1" s="1"/>
  <c r="AA15" i="1"/>
  <c r="Q11" i="1"/>
  <c r="Q16" i="1"/>
  <c r="AA4" i="1"/>
  <c r="Q14" i="1"/>
  <c r="AA13" i="1"/>
  <c r="Q12" i="1"/>
  <c r="AA16" i="1"/>
  <c r="Q20" i="1"/>
  <c r="Q5" i="1"/>
  <c r="Q9" i="1"/>
  <c r="Q19" i="1"/>
  <c r="AA7" i="1"/>
  <c r="Q13" i="1"/>
  <c r="AA5" i="1"/>
  <c r="AA11" i="1"/>
  <c r="Q17" i="1"/>
  <c r="AA2" i="1"/>
  <c r="Q23" i="1"/>
  <c r="AA6" i="1"/>
  <c r="AA17" i="1"/>
  <c r="AA10" i="1"/>
  <c r="N8" i="4"/>
  <c r="O8" i="4"/>
  <c r="Q7" i="1"/>
  <c r="Q2" i="1"/>
  <c r="Q15" i="1"/>
  <c r="Q22" i="1"/>
  <c r="Q6" i="1"/>
  <c r="Q10" i="1"/>
  <c r="Q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</author>
  </authors>
  <commentList>
    <comment ref="B8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2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83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4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8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9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90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1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3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 Mounier</author>
  </authors>
  <commentList>
    <comment ref="K52" authorId="0" shapeId="0" xr:uid="{142F8C1E-00F7-4107-ABFD-56C4D0700FD8}">
      <text>
        <r>
          <rPr>
            <b/>
            <sz val="9"/>
            <color indexed="81"/>
            <rFont val="Tahoma"/>
            <family val="2"/>
          </rPr>
          <t>Florence Mounier:</t>
        </r>
        <r>
          <rPr>
            <sz val="9"/>
            <color indexed="81"/>
            <rFont val="Tahoma"/>
            <family val="2"/>
          </rPr>
          <t xml:space="preserve">
one for each sample in yellow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Mounier Florence</author>
  </authors>
  <commentList>
    <comment ref="I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différentes espèces</t>
        </r>
      </text>
    </comment>
    <comment ref="K2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Ensis sp.</t>
        </r>
      </text>
    </comment>
    <comment ref="K28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Nucula sp.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Mounier Florence</author>
  </authors>
  <commentList>
    <comment ref="H1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2 réplicats dosage PCB et lipides =&gt; valeurs moyennes sur les réplicats reportées ici</t>
        </r>
      </text>
    </comment>
    <comment ref="I19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3 échantillons</t>
        </r>
      </text>
    </comment>
    <comment ref="I24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2 échantillons</t>
        </r>
      </text>
    </comment>
    <comment ref="H39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2 échantillons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</author>
    <author>Catherine MUNSCHY, Ifremer Nantes PDG-RBE-BE-LBC</author>
  </authors>
  <commentList>
    <comment ref="K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L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M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N1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O1" authorId="0" shapeId="0" xr:uid="{00000000-0006-0000-0600-000005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Q1" authorId="0" shapeId="0" xr:uid="{00000000-0006-0000-0600-000009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R1" authorId="0" shapeId="0" xr:uid="{00000000-0006-0000-0600-00000A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S1" authorId="0" shapeId="0" xr:uid="{00000000-0006-0000-0600-00000B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T11" authorId="1" shapeId="0" xr:uid="{00000000-0006-0000-0600-00000C000000}">
      <text>
        <r>
          <rPr>
            <b/>
            <sz val="9"/>
            <color indexed="81"/>
            <rFont val="Tahoma"/>
            <family val="2"/>
          </rPr>
          <t>Catherine MUNSCHY, Ifremer Nantes PDG-RBE-BE-LBC:</t>
        </r>
        <r>
          <rPr>
            <sz val="9"/>
            <color indexed="81"/>
            <rFont val="Tahoma"/>
            <family val="2"/>
          </rPr>
          <t xml:space="preserve">
refait NO051118
=24,45</t>
        </r>
      </text>
    </comment>
    <comment ref="T23" authorId="1" shapeId="0" xr:uid="{00000000-0006-0000-0600-00000D000000}">
      <text>
        <r>
          <rPr>
            <b/>
            <sz val="9"/>
            <color indexed="81"/>
            <rFont val="Tahoma"/>
            <family val="2"/>
          </rPr>
          <t>Catherine MUNSCHY, Ifremer Nantes PDG-RBE-BE-LBC:</t>
        </r>
        <r>
          <rPr>
            <sz val="9"/>
            <color indexed="81"/>
            <rFont val="Tahoma"/>
            <family val="2"/>
          </rPr>
          <t xml:space="preserve">
vérif OK et confirmé enantiomères</t>
        </r>
      </text>
    </comment>
    <comment ref="K29" authorId="0" shapeId="0" xr:uid="{00000000-0006-0000-0600-00000E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SOLE G2 ?</t>
        </r>
      </text>
    </comment>
    <comment ref="K32" authorId="0" shapeId="0" xr:uid="{00000000-0006-0000-0600-00000F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SOLE G2 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Nathalie OLIVIER, Ifremer Nantes PDG-RBE-BE-LBCO</author>
  </authors>
  <commentList>
    <comment ref="G244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Nathalie OLIVIER, Ifremer Nantes PDG-RBE-BE-LBCO:</t>
        </r>
        <r>
          <rPr>
            <sz val="9"/>
            <color indexed="81"/>
            <rFont val="Tahoma"/>
            <family val="2"/>
          </rPr>
          <t xml:space="preserve">
initialement appelé G0/5 dans le fichier</t>
        </r>
      </text>
    </comment>
    <comment ref="G247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Nathalie OLIVIER, Ifremer Nantes PDG-RBE-BE-LBCO:</t>
        </r>
        <r>
          <rPr>
            <sz val="9"/>
            <color indexed="81"/>
            <rFont val="Tahoma"/>
            <family val="2"/>
          </rPr>
          <t xml:space="preserve">
initialement appelé G0/6 dans le fichier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</author>
  </authors>
  <commentList>
    <comment ref="K1" authorId="0" shapeId="0" xr:uid="{9379F7B6-5014-42E2-BF8B-0513E789F9A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L1" authorId="0" shapeId="0" xr:uid="{0F032756-0AAA-409E-B1F4-4CEFCC903D16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</commentList>
</comments>
</file>

<file path=xl/sharedStrings.xml><?xml version="1.0" encoding="utf-8"?>
<sst xmlns="http://schemas.openxmlformats.org/spreadsheetml/2006/main" count="6131" uniqueCount="1907">
  <si>
    <t>zone</t>
  </si>
  <si>
    <t>type</t>
  </si>
  <si>
    <t>sediment</t>
  </si>
  <si>
    <t>Embouchure</t>
  </si>
  <si>
    <t xml:space="preserve">PFBS </t>
  </si>
  <si>
    <t xml:space="preserve">HFPO-DA </t>
  </si>
  <si>
    <t xml:space="preserve">NaDONA </t>
  </si>
  <si>
    <t xml:space="preserve">PFECHS </t>
  </si>
  <si>
    <t xml:space="preserve">PFHpS </t>
  </si>
  <si>
    <t xml:space="preserve">FOSAA </t>
  </si>
  <si>
    <t xml:space="preserve">EtFOSAA </t>
  </si>
  <si>
    <t xml:space="preserve">PFDS </t>
  </si>
  <si>
    <t xml:space="preserve">PFTrDA </t>
  </si>
  <si>
    <t>Fosse Nord</t>
  </si>
  <si>
    <t>Fosse Sud</t>
  </si>
  <si>
    <t>Chenal</t>
  </si>
  <si>
    <t xml:space="preserve">PFPeA </t>
  </si>
  <si>
    <t xml:space="preserve">PFHxA </t>
  </si>
  <si>
    <t xml:space="preserve">PFHpA </t>
  </si>
  <si>
    <t xml:space="preserve">PFOA </t>
  </si>
  <si>
    <t xml:space="preserve">PFHxS </t>
  </si>
  <si>
    <t xml:space="preserve">PFNA </t>
  </si>
  <si>
    <t xml:space="preserve">PFDA </t>
  </si>
  <si>
    <t xml:space="preserve">MeFOSAA </t>
  </si>
  <si>
    <t xml:space="preserve">PFDoA </t>
  </si>
  <si>
    <t xml:space="preserve">PFTeDA </t>
  </si>
  <si>
    <t xml:space="preserve">FOSA </t>
  </si>
  <si>
    <t xml:space="preserve">MeFOSA </t>
  </si>
  <si>
    <t xml:space="preserve">EtFOSA </t>
  </si>
  <si>
    <t>PERFLUOROALKYLCARBOXYLIC ACIDS (PFCAs)</t>
  </si>
  <si>
    <t>TELOMER SULFONATES (FTSs)</t>
  </si>
  <si>
    <t>DI-SUBSTITUTED POLYFLUORINATED PHOSPHATE ESTERS</t>
  </si>
  <si>
    <t>PERFLUOROOCTANESULFONAMIDOACETIC ACIDS (FOSAAs)</t>
  </si>
  <si>
    <t>PERFLUOROOCTANESULFONAMIDES (FOSAs)</t>
  </si>
  <si>
    <t>HEXAFLUOROPROPYLENE OXIDE DIMER ACID</t>
  </si>
  <si>
    <t>SODIUM DODECAFLUORO-3H-4,8-DIOXANONANOATE</t>
  </si>
  <si>
    <t>CP19</t>
  </si>
  <si>
    <t>Abra alba</t>
  </si>
  <si>
    <t>CP17</t>
  </si>
  <si>
    <t>Spisula subtruncata</t>
  </si>
  <si>
    <t>CP15</t>
  </si>
  <si>
    <t>Nephtys sp</t>
  </si>
  <si>
    <t>CP14</t>
  </si>
  <si>
    <t>CP13</t>
  </si>
  <si>
    <t>Owenia fusiformis</t>
  </si>
  <si>
    <t>CP12</t>
  </si>
  <si>
    <t>CP11</t>
  </si>
  <si>
    <t>Cerastoderma edule</t>
  </si>
  <si>
    <t>CP09</t>
  </si>
  <si>
    <t>Limecola balthica</t>
  </si>
  <si>
    <t>CP07</t>
  </si>
  <si>
    <t>CP06</t>
  </si>
  <si>
    <t>CP05</t>
  </si>
  <si>
    <t>Hediste diversicolor</t>
  </si>
  <si>
    <t>CP04</t>
  </si>
  <si>
    <t>Scrobicularia plana</t>
  </si>
  <si>
    <t>CP03</t>
  </si>
  <si>
    <t>CP02</t>
  </si>
  <si>
    <t>CP21</t>
  </si>
  <si>
    <t>CP23</t>
  </si>
  <si>
    <t>CP78</t>
  </si>
  <si>
    <t>CP62(+70)</t>
  </si>
  <si>
    <t>CP27+64+66</t>
  </si>
  <si>
    <t>CP74</t>
  </si>
  <si>
    <t>CP47</t>
  </si>
  <si>
    <t>CP40</t>
  </si>
  <si>
    <t>CP41</t>
  </si>
  <si>
    <t>CP42</t>
  </si>
  <si>
    <t>CP52</t>
  </si>
  <si>
    <t>CP60</t>
  </si>
  <si>
    <t>CP29+50</t>
  </si>
  <si>
    <t>CP54</t>
  </si>
  <si>
    <t>CP33</t>
  </si>
  <si>
    <t>CP35</t>
  </si>
  <si>
    <t>CP31</t>
  </si>
  <si>
    <t>CP43</t>
  </si>
  <si>
    <t>CP46</t>
  </si>
  <si>
    <t>CP45</t>
  </si>
  <si>
    <t>Lanice conchilega</t>
  </si>
  <si>
    <t>CP49</t>
  </si>
  <si>
    <t>CP48</t>
  </si>
  <si>
    <t>Crangon Crangon</t>
  </si>
  <si>
    <t>CP53</t>
  </si>
  <si>
    <t>CP25</t>
  </si>
  <si>
    <t>CP37</t>
  </si>
  <si>
    <t>CP56</t>
  </si>
  <si>
    <t>CP58</t>
  </si>
  <si>
    <t>CP44</t>
  </si>
  <si>
    <t>Corophium volutator</t>
  </si>
  <si>
    <t>SA200</t>
  </si>
  <si>
    <t>T2 FN8 crevettes</t>
  </si>
  <si>
    <t>T1 EM1/AN2 crevettes</t>
  </si>
  <si>
    <t>0617 Pool EM Soles G0</t>
  </si>
  <si>
    <t>FN G0 juin 2017 pool2</t>
  </si>
  <si>
    <t>0617 Pool FS Soles G0</t>
  </si>
  <si>
    <t>FS G0 juin 2017 pool2</t>
  </si>
  <si>
    <t>0617 Pool CH Soles G0</t>
  </si>
  <si>
    <t>EM G0 oct 2017 pool1</t>
  </si>
  <si>
    <t>EM G0 oct 2017 pool2</t>
  </si>
  <si>
    <t>EM G0 oct 2017 pool3</t>
  </si>
  <si>
    <t>1017 AS5 Sole G1 2</t>
  </si>
  <si>
    <t>41017 AN2 Sole G1 2</t>
  </si>
  <si>
    <t>41017 AN1 Sole G1 3</t>
  </si>
  <si>
    <t>41017 AN2 Sole G1 1</t>
  </si>
  <si>
    <t>41017 AN5 Sole G1 1</t>
  </si>
  <si>
    <t>1017 AS5 Sole G1 1</t>
  </si>
  <si>
    <t>41017 AN1 Sole G1 4</t>
  </si>
  <si>
    <t>41017 AN1 Sole G1 1</t>
  </si>
  <si>
    <t>41017 AN1 Sole G1 5</t>
  </si>
  <si>
    <t>41017 AN2 Sole G1 3</t>
  </si>
  <si>
    <t>41017 AN1 Sole G1 2</t>
  </si>
  <si>
    <t>031017 FS3 Sole G1 1</t>
  </si>
  <si>
    <t>031017 FS5 Sole G1 1</t>
  </si>
  <si>
    <t>PERFLUORO-4-ETHYLCYCLOHEXANESULFONATE</t>
  </si>
  <si>
    <t>CB28</t>
  </si>
  <si>
    <t>CB31</t>
  </si>
  <si>
    <t>CB44</t>
  </si>
  <si>
    <t>CB49</t>
  </si>
  <si>
    <t>CB52</t>
  </si>
  <si>
    <t>CB101</t>
  </si>
  <si>
    <t>CB105</t>
  </si>
  <si>
    <t>CB110</t>
  </si>
  <si>
    <t>CB118</t>
  </si>
  <si>
    <t>CB128</t>
  </si>
  <si>
    <t>CB132</t>
  </si>
  <si>
    <t>CB138</t>
  </si>
  <si>
    <t>CB149</t>
  </si>
  <si>
    <t>CB153</t>
  </si>
  <si>
    <t>CB156</t>
  </si>
  <si>
    <t>CB170</t>
  </si>
  <si>
    <t>CB180</t>
  </si>
  <si>
    <t>CB187</t>
  </si>
  <si>
    <t>CB194</t>
  </si>
  <si>
    <t>PCB</t>
  </si>
  <si>
    <t>PFAS</t>
  </si>
  <si>
    <t>HBCDD</t>
  </si>
  <si>
    <t>Sous-famille</t>
  </si>
  <si>
    <t>LOD_sediment</t>
  </si>
  <si>
    <t>LOQ_sediment</t>
  </si>
  <si>
    <t>C_percent</t>
  </si>
  <si>
    <t>N_percent</t>
  </si>
  <si>
    <t>Corg_mol</t>
  </si>
  <si>
    <t>Norg_mol</t>
  </si>
  <si>
    <t>NA</t>
  </si>
  <si>
    <t>0,9 - 270</t>
  </si>
  <si>
    <t>1,1 - 148</t>
  </si>
  <si>
    <t>1,1 - 149</t>
  </si>
  <si>
    <t>1,1 - 150</t>
  </si>
  <si>
    <t>2,0 - 180</t>
  </si>
  <si>
    <t>2,0 - 80</t>
  </si>
  <si>
    <t>10,0 - 310</t>
  </si>
  <si>
    <t>10 - 300</t>
  </si>
  <si>
    <t>3,5 - 320</t>
  </si>
  <si>
    <t>5,9 - 535</t>
  </si>
  <si>
    <t>3,4 - 310</t>
  </si>
  <si>
    <t>6,0 - 540</t>
  </si>
  <si>
    <t>2,0 - 85</t>
  </si>
  <si>
    <t>3,2 - 285</t>
  </si>
  <si>
    <t>9,0 - 160</t>
  </si>
  <si>
    <t>3,1 - 280</t>
  </si>
  <si>
    <t>3,4 - 300</t>
  </si>
  <si>
    <t>13 à 15h</t>
  </si>
  <si>
    <t>Em52</t>
  </si>
  <si>
    <t>Em29</t>
  </si>
  <si>
    <t>logKow</t>
  </si>
  <si>
    <t>FS19</t>
  </si>
  <si>
    <t>FS59</t>
  </si>
  <si>
    <t>FN R8</t>
  </si>
  <si>
    <t>EM52</t>
  </si>
  <si>
    <t>CH</t>
  </si>
  <si>
    <t>EM</t>
  </si>
  <si>
    <t>EM47/EM52</t>
  </si>
  <si>
    <t>EM29/EM38</t>
  </si>
  <si>
    <t>Donax vittatus</t>
  </si>
  <si>
    <t>CP72</t>
  </si>
  <si>
    <t>Corbula gibba</t>
  </si>
  <si>
    <t>CP76</t>
  </si>
  <si>
    <t>EM52/EM29</t>
  </si>
  <si>
    <t>Nucula Nitidosa</t>
  </si>
  <si>
    <t>CP80</t>
  </si>
  <si>
    <t>CP68</t>
  </si>
  <si>
    <t>EM19/EM59</t>
  </si>
  <si>
    <t>CP61</t>
  </si>
  <si>
    <t>proxR8</t>
  </si>
  <si>
    <t xml:space="preserve">d 13C/12C ‰ </t>
  </si>
  <si>
    <t xml:space="preserve">d 15N/14N ‰ </t>
  </si>
  <si>
    <t>CHOPIN_bilan_isotopie_partage</t>
  </si>
  <si>
    <t>year</t>
  </si>
  <si>
    <t>season</t>
  </si>
  <si>
    <t>date_sampling</t>
  </si>
  <si>
    <t>species</t>
  </si>
  <si>
    <t>sample_TAG</t>
  </si>
  <si>
    <t>water_percent</t>
  </si>
  <si>
    <t>length_TL_cm</t>
  </si>
  <si>
    <t>length_SL_cm</t>
  </si>
  <si>
    <t>G0</t>
  </si>
  <si>
    <t>G1</t>
  </si>
  <si>
    <t>G2</t>
  </si>
  <si>
    <t>sample_type</t>
  </si>
  <si>
    <t>pool</t>
  </si>
  <si>
    <t>1017 FN G0 pool 1</t>
  </si>
  <si>
    <t>1017 FN G0 pool 2</t>
  </si>
  <si>
    <t>1017 FN G0 pool 3</t>
  </si>
  <si>
    <t>1017 FS G0 pool 1</t>
  </si>
  <si>
    <t>1017 FS G0 pool 2</t>
  </si>
  <si>
    <t>1017 FS G0 pool 3</t>
  </si>
  <si>
    <t>1017 FS G0 pool 4</t>
  </si>
  <si>
    <t>1017 FN8 sole G1 1</t>
  </si>
  <si>
    <t>G0 FN p1</t>
  </si>
  <si>
    <t>length_TL_cm_sd</t>
  </si>
  <si>
    <t>M</t>
  </si>
  <si>
    <t>lipid_percent_dw</t>
  </si>
  <si>
    <t>1017 C6 Sole G1 1</t>
  </si>
  <si>
    <t>F</t>
  </si>
  <si>
    <t>rest</t>
  </si>
  <si>
    <t>pooled individuals (eviscerated ?)</t>
  </si>
  <si>
    <t>WB</t>
  </si>
  <si>
    <t>whole body eviscerated homogeneised</t>
  </si>
  <si>
    <t>WB_reconst</t>
  </si>
  <si>
    <t>whole body eviscerated reconstituted from liver, gonads and rest samples</t>
  </si>
  <si>
    <t>rest sample (whole body eviscerated without liver and gonads)</t>
  </si>
  <si>
    <t>I</t>
  </si>
  <si>
    <t>092018-G1-01</t>
  </si>
  <si>
    <t>092018-G1-02</t>
  </si>
  <si>
    <t>092018-G1-04</t>
  </si>
  <si>
    <t>092018-G1-09</t>
  </si>
  <si>
    <t>092018-G1-10</t>
  </si>
  <si>
    <t>092018-G1-11</t>
  </si>
  <si>
    <t>092018-G1-12</t>
  </si>
  <si>
    <t>092018-G1-16</t>
  </si>
  <si>
    <t>092018-G1-17</t>
  </si>
  <si>
    <t>092018-G1-18</t>
  </si>
  <si>
    <t>112018-G2-05</t>
  </si>
  <si>
    <t>112018-G2-06</t>
  </si>
  <si>
    <t>112018-G2-09</t>
  </si>
  <si>
    <t>112018-G2-10</t>
  </si>
  <si>
    <t>112018-G2-14</t>
  </si>
  <si>
    <t>112018-G2-07</t>
  </si>
  <si>
    <t>112018-G2-13</t>
  </si>
  <si>
    <t>112018-G2-15</t>
  </si>
  <si>
    <t>112018-G2-16</t>
  </si>
  <si>
    <t>112018-G2-12</t>
  </si>
  <si>
    <t>112018-G2-11</t>
  </si>
  <si>
    <t>112018-G2-17</t>
  </si>
  <si>
    <t>mass_tot_gww_sd</t>
  </si>
  <si>
    <t>mass_tot_gww</t>
  </si>
  <si>
    <t>Solea solea</t>
  </si>
  <si>
    <t>liver</t>
  </si>
  <si>
    <t>gonads</t>
  </si>
  <si>
    <t>mass_tissue_gww</t>
  </si>
  <si>
    <t>LOQ_biote</t>
  </si>
  <si>
    <t>Traits</t>
  </si>
  <si>
    <t>Lt (cm)</t>
  </si>
  <si>
    <t>Ls (cm)</t>
  </si>
  <si>
    <t>masse du foie (mg)</t>
  </si>
  <si>
    <t>Observations</t>
  </si>
  <si>
    <t>EM6</t>
  </si>
  <si>
    <t>Poids reconstitué</t>
  </si>
  <si>
    <t>EM1</t>
  </si>
  <si>
    <t>EM2</t>
  </si>
  <si>
    <t>AN3</t>
  </si>
  <si>
    <t>AN2</t>
  </si>
  <si>
    <t>Poids tractus prélevé trop faible</t>
  </si>
  <si>
    <t>début déssèchement</t>
  </si>
  <si>
    <t>AN1</t>
  </si>
  <si>
    <t>AS2</t>
  </si>
  <si>
    <t>FS3</t>
  </si>
  <si>
    <t>poids anormalement élevé par rapport au tractus</t>
  </si>
  <si>
    <t>FS5</t>
  </si>
  <si>
    <t>FS0</t>
  </si>
  <si>
    <t>poids avec morceau de nageoire</t>
  </si>
  <si>
    <t>FN3</t>
  </si>
  <si>
    <t>FN4</t>
  </si>
  <si>
    <t>FN5</t>
  </si>
  <si>
    <t>FN8</t>
  </si>
  <si>
    <t>CC8-FN8</t>
  </si>
  <si>
    <t>Campagne</t>
  </si>
  <si>
    <t>CHOPIN</t>
  </si>
  <si>
    <t>P2000</t>
  </si>
  <si>
    <t>CAPES+</t>
  </si>
  <si>
    <t>CC1-FS5</t>
  </si>
  <si>
    <t>C2</t>
  </si>
  <si>
    <t>C6</t>
  </si>
  <si>
    <t>C1</t>
  </si>
  <si>
    <t>poids avec le foie</t>
  </si>
  <si>
    <t>C7</t>
  </si>
  <si>
    <t>AS2_T7</t>
  </si>
  <si>
    <t>AN1_T19</t>
  </si>
  <si>
    <t>0917/AN1-soleG0/10</t>
  </si>
  <si>
    <t>0917/AN1-soleG0/2</t>
  </si>
  <si>
    <t>AN2_T18</t>
  </si>
  <si>
    <t>0917/AN2-soleG0/4</t>
  </si>
  <si>
    <t>AN3_T17</t>
  </si>
  <si>
    <t>0917/AN3-soleG0/3</t>
  </si>
  <si>
    <t>0917/AN1-soleG0/3</t>
  </si>
  <si>
    <t>0917/AN1-soleG0/7</t>
  </si>
  <si>
    <t>0917/AN1-soleG0/1</t>
  </si>
  <si>
    <t>0917/AN1-soleG0/9</t>
  </si>
  <si>
    <t>AN2_T1</t>
  </si>
  <si>
    <t>1017/AN2-soleG0/4</t>
  </si>
  <si>
    <t>ND</t>
  </si>
  <si>
    <t>x</t>
  </si>
  <si>
    <t>otolithes</t>
  </si>
  <si>
    <t>0917/AN1-soleG0/6</t>
  </si>
  <si>
    <t>AS5_T5</t>
  </si>
  <si>
    <t>0917/AS5-soleG0/1</t>
  </si>
  <si>
    <t>AN4_T16</t>
  </si>
  <si>
    <t>0917/AN4-soleG0/2</t>
  </si>
  <si>
    <t>0917/AN4-soleG0/1</t>
  </si>
  <si>
    <t>0917/AN1-soleG0/8</t>
  </si>
  <si>
    <t>1017/AN2-soleG0/2</t>
  </si>
  <si>
    <t>0917/AN2-soleG0/3</t>
  </si>
  <si>
    <t>AS3_T3</t>
  </si>
  <si>
    <t>0917/AS3-soleG0/1</t>
  </si>
  <si>
    <t>0917/AN1-soleG0/5</t>
  </si>
  <si>
    <t>0917/AN2-soleG0/1</t>
  </si>
  <si>
    <t>0917/AN2-soleG0/2</t>
  </si>
  <si>
    <t>nd</t>
  </si>
  <si>
    <t>0917/AN3-soleG0/2</t>
  </si>
  <si>
    <t>0917/AN3-soleG0/1</t>
  </si>
  <si>
    <t>1017/AS2-soleG0/5</t>
  </si>
  <si>
    <t>1017/AN2-soleG0/3</t>
  </si>
  <si>
    <t>1017/AN2-soleG0/5</t>
  </si>
  <si>
    <t>0917/AN3-soleG0/4</t>
  </si>
  <si>
    <t>1017/AS2-soleG0/6</t>
  </si>
  <si>
    <t>0917/AN1-soleG0/4</t>
  </si>
  <si>
    <t>1017/AS2-soleG0/3</t>
  </si>
  <si>
    <t>1017/AN2-soleG0/1</t>
  </si>
  <si>
    <t>FN8_T2</t>
  </si>
  <si>
    <t>41017/FN8-soleG0/6</t>
  </si>
  <si>
    <t>FN5_T7</t>
  </si>
  <si>
    <t>041017/FN5-soleG0/2</t>
  </si>
  <si>
    <t>41017/FN8-soleG0/9</t>
  </si>
  <si>
    <t>41017/FN8-soleG0/3</t>
  </si>
  <si>
    <t>FN5_T9</t>
  </si>
  <si>
    <t>101017/FN5-soleG0/1</t>
  </si>
  <si>
    <t>41017/FN8-soleG0/4</t>
  </si>
  <si>
    <t>41017/FN8-soleG0/7</t>
  </si>
  <si>
    <t>101017/FN5-soleG0/2</t>
  </si>
  <si>
    <t>FN9_T4</t>
  </si>
  <si>
    <t>41017/FN9-soleG0/1</t>
  </si>
  <si>
    <t>41017/FN8-soleG0/10</t>
  </si>
  <si>
    <t>41017/FN8-soleG0/8</t>
  </si>
  <si>
    <t>TRACTUS PLEIN</t>
  </si>
  <si>
    <t>FN1_T6</t>
  </si>
  <si>
    <t>041017/FN1-soleG0/1</t>
  </si>
  <si>
    <t>41017/FN8-soleG0/2</t>
  </si>
  <si>
    <t>41017/FN8-soleG0/14</t>
  </si>
  <si>
    <t>41017/FN8-soleG0/13</t>
  </si>
  <si>
    <t>foie dur à prélever (masse sous estimée)</t>
  </si>
  <si>
    <t>41017/FN8-soleG0/15</t>
  </si>
  <si>
    <t>41017/FN8-soleG0/1</t>
  </si>
  <si>
    <t>041017/FN5-soleG0/1</t>
  </si>
  <si>
    <t>41017/FN8-soleG0/12</t>
  </si>
  <si>
    <t>041017/FN5-soleG0/4</t>
  </si>
  <si>
    <t>041017/FN1-soleG0/4</t>
  </si>
  <si>
    <t>041017/FN1-soleG0/2</t>
  </si>
  <si>
    <t>41017/FN8-soleG0/11</t>
  </si>
  <si>
    <t>41017/FN9-soleG0/2</t>
  </si>
  <si>
    <t>41017/FN8-soleG0/5</t>
  </si>
  <si>
    <t>041017/FN5-soleG0/3</t>
  </si>
  <si>
    <t>FN9_T13</t>
  </si>
  <si>
    <t>101017/FN9-soleG0/1</t>
  </si>
  <si>
    <t>FN3_T11</t>
  </si>
  <si>
    <t>1017/FN3-soleG0/1</t>
  </si>
  <si>
    <t>041017/FN1-soleG0/3</t>
  </si>
  <si>
    <t>041017/FN1-soleG0/5</t>
  </si>
  <si>
    <t>FS3Bis-T27</t>
  </si>
  <si>
    <t>10-17/FS3Bis-Sole-G0/12</t>
  </si>
  <si>
    <t>FS1-T5</t>
  </si>
  <si>
    <t>03-10-17/FS1-Sole-G0/4</t>
  </si>
  <si>
    <t>10-17/FS3Bis-Sole-G0/19</t>
  </si>
  <si>
    <t>10-17/FS3Bis-Sole-G0/11</t>
  </si>
  <si>
    <t>10-17/FS3Bis-Sole-G0/21</t>
  </si>
  <si>
    <t>FS3-T3</t>
  </si>
  <si>
    <t>31017/FS3-sole-G0/1</t>
  </si>
  <si>
    <t>10-17/FS3Bis-Sole-G0/10</t>
  </si>
  <si>
    <t>03-10-17/FS1-Sole-G0/2</t>
  </si>
  <si>
    <t>10-17/FS3Bis-Sole-G0/9</t>
  </si>
  <si>
    <t>10-17/FS3Bis-Sole-G0/13</t>
  </si>
  <si>
    <t>10-17/FS3Bis-Sole-G0/8</t>
  </si>
  <si>
    <t>10-17/FS3Bis-Sole-G0/18</t>
  </si>
  <si>
    <t>10-17/FS3Bis-Sole-G0/1</t>
  </si>
  <si>
    <t>10-17/FS3Bis-Sole-G0/20</t>
  </si>
  <si>
    <t>FS5-T2</t>
  </si>
  <si>
    <t>31017/FS5-sole-G0/2</t>
  </si>
  <si>
    <t>10-17/FS3Bis-Sole-G0/3</t>
  </si>
  <si>
    <t>10-17/FS3Bis-Sole-G0/15</t>
  </si>
  <si>
    <t>10-17/FS3Bis-Sole-G0/22</t>
  </si>
  <si>
    <t>10-17/FS3Bis-Sole-G0/7</t>
  </si>
  <si>
    <t>10-17/FS3Bis-Sole-G0/24</t>
  </si>
  <si>
    <t>10-17/FS3Bis-Sole-G0/17</t>
  </si>
  <si>
    <t>10-17/FS3Bis-Sole-G0/2</t>
  </si>
  <si>
    <t>10-17/FS3Bis-Sole-G0/14</t>
  </si>
  <si>
    <t>31017/FS3-sole-G0/2</t>
  </si>
  <si>
    <t>03-10-17/FS1-Sole-G0/3</t>
  </si>
  <si>
    <t>FS4-T6</t>
  </si>
  <si>
    <t>31017/FS4-soleG0/1</t>
  </si>
  <si>
    <t>10-17/FS3Bis-Sole-G0/5</t>
  </si>
  <si>
    <t>03-10-17/FS3-Sole-G0/3</t>
  </si>
  <si>
    <t>10-17/FS3Bis-Sole-G0/4</t>
  </si>
  <si>
    <t>31017/FS5-sole-G0/1</t>
  </si>
  <si>
    <t>10-17/FS3Bis-Sole-G0/23</t>
  </si>
  <si>
    <t>10-17/FS3Bis-Sole-G0/16</t>
  </si>
  <si>
    <t>03-10-17/FS1-Sole-G0/1</t>
  </si>
  <si>
    <t>10-17/FS3Bis-Sole-G0/25</t>
  </si>
  <si>
    <t>10-17/FS3Bis-Sole-G0/6</t>
  </si>
  <si>
    <t>masse du tractus (mg)</t>
  </si>
  <si>
    <t>Masse éviscérée (mg)</t>
  </si>
  <si>
    <t>Masse totale (g)</t>
  </si>
  <si>
    <t>Fulton K</t>
  </si>
  <si>
    <t>FultonK_gwwTL3</t>
  </si>
  <si>
    <t>FultonK_sd_gwwTL3</t>
  </si>
  <si>
    <t>BENTHOS</t>
  </si>
  <si>
    <t>29 chemicals</t>
  </si>
  <si>
    <t>19 chemicals</t>
  </si>
  <si>
    <t>3 isomers</t>
  </si>
  <si>
    <t>50 samples</t>
  </si>
  <si>
    <t>ng.g-1 dw</t>
  </si>
  <si>
    <t>Empty cell</t>
  </si>
  <si>
    <t>not measured/analysed</t>
  </si>
  <si>
    <t>&lt;LOQ</t>
  </si>
  <si>
    <t>File from Véronique 14fev2020 "PCB HBCDD benthos sed 2017"</t>
  </si>
  <si>
    <t>File from Marine Gallien 08jan2020  "CHOPIN_bilan_PFAS_partage_"</t>
  </si>
  <si>
    <r>
      <t xml:space="preserve">pg.g-1 dw --&gt; </t>
    </r>
    <r>
      <rPr>
        <b/>
        <sz val="11"/>
        <color theme="1"/>
        <rFont val="Calibri"/>
        <family val="2"/>
        <scheme val="minor"/>
      </rPr>
      <t>ng.g-1 dw</t>
    </r>
  </si>
  <si>
    <t>LOD value</t>
  </si>
  <si>
    <t>measured value &lt; LOQ</t>
  </si>
  <si>
    <t>Chemical</t>
  </si>
  <si>
    <t>Familly</t>
  </si>
  <si>
    <t>SOLES</t>
  </si>
  <si>
    <t>solesG0pools</t>
  </si>
  <si>
    <t>solesG2organotr</t>
  </si>
  <si>
    <t>57 samples</t>
  </si>
  <si>
    <t>303 individuals</t>
  </si>
  <si>
    <t>13 individuals</t>
  </si>
  <si>
    <t>Details of G0 pools in SOLES sheet</t>
  </si>
  <si>
    <t>Database</t>
  </si>
  <si>
    <t>SEDIMENTS</t>
  </si>
  <si>
    <t>24 samples</t>
  </si>
  <si>
    <t>31 chemicals</t>
  </si>
  <si>
    <t>File from Véronique "Res sediment tt_flo" in pg.g-1 dw</t>
  </si>
  <si>
    <t>File from Véronique 14fev2020 "PCB HBCDD benthos sed 2017" in pg.g-1 dw</t>
  </si>
  <si>
    <t>Details of G2 individuals from SOLES sheet reconstituted (WB_reconst)</t>
  </si>
  <si>
    <t>Measurements in liver, gonads and the rest</t>
  </si>
  <si>
    <t>Computation of the reconstitution</t>
  </si>
  <si>
    <t>Individual biometrics</t>
  </si>
  <si>
    <t>+rest for comparisons</t>
  </si>
  <si>
    <t>CODE_ECHANTILLON</t>
  </si>
  <si>
    <t>espece</t>
  </si>
  <si>
    <t>groupe</t>
  </si>
  <si>
    <t>Secteur/zone</t>
  </si>
  <si>
    <t>Station</t>
  </si>
  <si>
    <t>stade</t>
  </si>
  <si>
    <t>n°increment</t>
  </si>
  <si>
    <t>d13C</t>
  </si>
  <si>
    <t>d15N</t>
  </si>
  <si>
    <t>%C</t>
  </si>
  <si>
    <t>%N</t>
  </si>
  <si>
    <t>C_N</t>
  </si>
  <si>
    <t>LT</t>
  </si>
  <si>
    <t>lon</t>
  </si>
  <si>
    <t>lat</t>
  </si>
  <si>
    <t>stade_strate</t>
  </si>
  <si>
    <t>Automne</t>
  </si>
  <si>
    <t>D1080</t>
  </si>
  <si>
    <t>D1070</t>
  </si>
  <si>
    <t>D1199</t>
  </si>
  <si>
    <t>D1071</t>
  </si>
  <si>
    <t>D1072</t>
  </si>
  <si>
    <t>D1073</t>
  </si>
  <si>
    <t>D1074</t>
  </si>
  <si>
    <t>AS4</t>
  </si>
  <si>
    <t>D1075</t>
  </si>
  <si>
    <t>D1076</t>
  </si>
  <si>
    <t>D1110</t>
  </si>
  <si>
    <t>AS5</t>
  </si>
  <si>
    <t>D1077</t>
  </si>
  <si>
    <t>D1078</t>
  </si>
  <si>
    <t>D1115</t>
  </si>
  <si>
    <t>D1116</t>
  </si>
  <si>
    <t>D1117</t>
  </si>
  <si>
    <t>D1118</t>
  </si>
  <si>
    <t>D1119</t>
  </si>
  <si>
    <t>D1198</t>
  </si>
  <si>
    <t>D1203</t>
  </si>
  <si>
    <t>D1204</t>
  </si>
  <si>
    <t>D1206</t>
  </si>
  <si>
    <t>D1207</t>
  </si>
  <si>
    <t>D1079</t>
  </si>
  <si>
    <t>D1081</t>
  </si>
  <si>
    <t>D1121</t>
  </si>
  <si>
    <t>D1143</t>
  </si>
  <si>
    <t>D1144</t>
  </si>
  <si>
    <t>D1089</t>
  </si>
  <si>
    <t>D1122</t>
  </si>
  <si>
    <t>D1082</t>
  </si>
  <si>
    <t>D1083</t>
  </si>
  <si>
    <t>D1084</t>
  </si>
  <si>
    <t>D1085</t>
  </si>
  <si>
    <t>D1086</t>
  </si>
  <si>
    <t>D1087</t>
  </si>
  <si>
    <t>D1088</t>
  </si>
  <si>
    <t>D1120</t>
  </si>
  <si>
    <t>D1099</t>
  </si>
  <si>
    <t>D1126</t>
  </si>
  <si>
    <t>EM10</t>
  </si>
  <si>
    <t>EM1-AN2</t>
  </si>
  <si>
    <t>D1069</t>
  </si>
  <si>
    <t>D1111</t>
  </si>
  <si>
    <t>D1112</t>
  </si>
  <si>
    <t>D1113</t>
  </si>
  <si>
    <t>D1114</t>
  </si>
  <si>
    <t>EM3</t>
  </si>
  <si>
    <t>EM7</t>
  </si>
  <si>
    <t>FN11</t>
  </si>
  <si>
    <t>D1137</t>
  </si>
  <si>
    <t>D1138</t>
  </si>
  <si>
    <t>D1139</t>
  </si>
  <si>
    <t>D1100</t>
  </si>
  <si>
    <t>D1101</t>
  </si>
  <si>
    <t>D1102</t>
  </si>
  <si>
    <t>D1103</t>
  </si>
  <si>
    <t>D1104</t>
  </si>
  <si>
    <t>D1140</t>
  </si>
  <si>
    <t>D1201</t>
  </si>
  <si>
    <t>D1105</t>
  </si>
  <si>
    <t>D1106</t>
  </si>
  <si>
    <t>D1107</t>
  </si>
  <si>
    <t>D1108</t>
  </si>
  <si>
    <t>D1109</t>
  </si>
  <si>
    <t>D1133</t>
  </si>
  <si>
    <t>D1134</t>
  </si>
  <si>
    <t>D1135</t>
  </si>
  <si>
    <t>D1136</t>
  </si>
  <si>
    <t>D1141</t>
  </si>
  <si>
    <t>D1142</t>
  </si>
  <si>
    <t>D1202</t>
  </si>
  <si>
    <t>D1211</t>
  </si>
  <si>
    <t>D1212</t>
  </si>
  <si>
    <t>FS2</t>
  </si>
  <si>
    <t>D1090</t>
  </si>
  <si>
    <t>D1091</t>
  </si>
  <si>
    <t>D1092</t>
  </si>
  <si>
    <t>D1093</t>
  </si>
  <si>
    <t>D1094</t>
  </si>
  <si>
    <t>D1095</t>
  </si>
  <si>
    <t>D1096</t>
  </si>
  <si>
    <t>D1097</t>
  </si>
  <si>
    <t>D1098</t>
  </si>
  <si>
    <t>D1123</t>
  </si>
  <si>
    <t>D1124</t>
  </si>
  <si>
    <t>D1125</t>
  </si>
  <si>
    <t>D1129</t>
  </si>
  <si>
    <t>D1200</t>
  </si>
  <si>
    <t>D1208</t>
  </si>
  <si>
    <t>D1210</t>
  </si>
  <si>
    <t>FS3bis</t>
  </si>
  <si>
    <t>D1130</t>
  </si>
  <si>
    <t>D1131</t>
  </si>
  <si>
    <t>D1132</t>
  </si>
  <si>
    <t>D1209</t>
  </si>
  <si>
    <t>FS4</t>
  </si>
  <si>
    <t>D1127</t>
  </si>
  <si>
    <t>D1128</t>
  </si>
  <si>
    <t>Printemps</t>
  </si>
  <si>
    <t>AN5</t>
  </si>
  <si>
    <t>C0860</t>
  </si>
  <si>
    <t>C0854</t>
  </si>
  <si>
    <t>C0852</t>
  </si>
  <si>
    <t>C0859</t>
  </si>
  <si>
    <t>C0728</t>
  </si>
  <si>
    <t>C0736</t>
  </si>
  <si>
    <t>C0729</t>
  </si>
  <si>
    <t>C0730</t>
  </si>
  <si>
    <t>C0731</t>
  </si>
  <si>
    <t>C0737</t>
  </si>
  <si>
    <t>CC5-FN1</t>
  </si>
  <si>
    <t>C0790</t>
  </si>
  <si>
    <t>C0791</t>
  </si>
  <si>
    <t>C0792</t>
  </si>
  <si>
    <t>C0793</t>
  </si>
  <si>
    <t>C0794</t>
  </si>
  <si>
    <t>C0848</t>
  </si>
  <si>
    <t>C0850</t>
  </si>
  <si>
    <t>C0851</t>
  </si>
  <si>
    <t>CC7-FN5</t>
  </si>
  <si>
    <t>C0788</t>
  </si>
  <si>
    <t>C0789</t>
  </si>
  <si>
    <t>CF4-C4</t>
  </si>
  <si>
    <t>C0735</t>
  </si>
  <si>
    <t>CF5-C6</t>
  </si>
  <si>
    <t>C0732</t>
  </si>
  <si>
    <t>C0733</t>
  </si>
  <si>
    <t>C0734</t>
  </si>
  <si>
    <t>C0802</t>
  </si>
  <si>
    <t>C0803</t>
  </si>
  <si>
    <t>C0804</t>
  </si>
  <si>
    <t>C0805</t>
  </si>
  <si>
    <t>C0806</t>
  </si>
  <si>
    <t>CF6-C7</t>
  </si>
  <si>
    <t>C0846</t>
  </si>
  <si>
    <t>C0849</t>
  </si>
  <si>
    <t>C0855</t>
  </si>
  <si>
    <t>C0861</t>
  </si>
  <si>
    <t>EM14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</si>
  <si>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</si>
  <si>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</si>
  <si>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</si>
  <si>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</si>
  <si>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</si>
  <si>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</si>
  <si>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</si>
  <si>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</si>
  <si>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</si>
  <si>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</si>
  <si>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C0863</t>
  </si>
  <si>
    <t>C0862</t>
  </si>
  <si>
    <t>FN6</t>
  </si>
  <si>
    <t>C0845</t>
  </si>
  <si>
    <t>C0847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</si>
  <si>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</si>
  <si>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</si>
  <si>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</si>
  <si>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</si>
  <si>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</si>
  <si>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</si>
  <si>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</si>
  <si>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</si>
  <si>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</si>
  <si>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</si>
  <si>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FN9</t>
  </si>
  <si>
    <t>C0795</t>
  </si>
  <si>
    <t>C0839</t>
  </si>
  <si>
    <t>C0800</t>
  </si>
  <si>
    <t>C0801</t>
  </si>
  <si>
    <t>C0844</t>
  </si>
  <si>
    <t>C0797</t>
  </si>
  <si>
    <t>C0798</t>
  </si>
  <si>
    <t>C0799</t>
  </si>
  <si>
    <t>C0835</t>
  </si>
  <si>
    <t>C0840</t>
  </si>
  <si>
    <t>C0837</t>
  </si>
  <si>
    <t>C0841</t>
  </si>
  <si>
    <t>C0796</t>
  </si>
  <si>
    <t>C0843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</si>
  <si>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</si>
  <si>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</si>
  <si>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</si>
  <si>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</si>
  <si>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</si>
  <si>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</si>
  <si>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</si>
  <si>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</si>
  <si>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</si>
  <si>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</si>
  <si>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C0836</t>
  </si>
  <si>
    <t>C0838</t>
  </si>
  <si>
    <t>C0842</t>
  </si>
  <si>
    <t>ABRAALB_47_D1309</t>
  </si>
  <si>
    <t>Abra_alba</t>
  </si>
  <si>
    <t>Bivalvia</t>
  </si>
  <si>
    <t>D1309</t>
  </si>
  <si>
    <t>ABRAALB_52_D1311</t>
  </si>
  <si>
    <t>D1311</t>
  </si>
  <si>
    <t>ABRAALB_52_D1315</t>
  </si>
  <si>
    <t>D1315</t>
  </si>
  <si>
    <t>ABRAALB_CAPES2_D1390</t>
  </si>
  <si>
    <t>CAPES2</t>
  </si>
  <si>
    <t>D1390</t>
  </si>
  <si>
    <t>ABRAALB_47_D1463</t>
  </si>
  <si>
    <t>D1463</t>
  </si>
  <si>
    <t>ABRAALB_52_D1445</t>
  </si>
  <si>
    <t>D1445</t>
  </si>
  <si>
    <t>ABRAALB_52_D1446</t>
  </si>
  <si>
    <t>D1446</t>
  </si>
  <si>
    <t>ABRAALB_CAPES1_D1357</t>
  </si>
  <si>
    <t>CAPES1</t>
  </si>
  <si>
    <t>D1357</t>
  </si>
  <si>
    <t>CERSEDU_12_D1469</t>
  </si>
  <si>
    <t>Cerastoderma_edule</t>
  </si>
  <si>
    <t>D1469</t>
  </si>
  <si>
    <t>CERSEDU_12_D1543</t>
  </si>
  <si>
    <t>D1543</t>
  </si>
  <si>
    <t>CERSEDU_19_D1391</t>
  </si>
  <si>
    <t>19</t>
  </si>
  <si>
    <t>D1391</t>
  </si>
  <si>
    <t>CERSEDU_19_D1412</t>
  </si>
  <si>
    <t>D1412</t>
  </si>
  <si>
    <t>CERSEDU_26_D1507</t>
  </si>
  <si>
    <t>26</t>
  </si>
  <si>
    <t>D1507</t>
  </si>
  <si>
    <t>CERSEDU_26_D1508</t>
  </si>
  <si>
    <t>D1508</t>
  </si>
  <si>
    <t>CERSEDU_8_D1482</t>
  </si>
  <si>
    <t>8</t>
  </si>
  <si>
    <t>D1482</t>
  </si>
  <si>
    <t>CERSEDU_8_D1483</t>
  </si>
  <si>
    <t>D1483</t>
  </si>
  <si>
    <t>CERSEDU_12_D1354</t>
  </si>
  <si>
    <t>D1354</t>
  </si>
  <si>
    <t>CERSEDU_19_D1348</t>
  </si>
  <si>
    <t>D1348</t>
  </si>
  <si>
    <t>CERSEDU_19_D1500</t>
  </si>
  <si>
    <t>D1500</t>
  </si>
  <si>
    <t>CERSEDU_26_D1350</t>
  </si>
  <si>
    <t>D1350</t>
  </si>
  <si>
    <t>CERSEDU_26_D1502</t>
  </si>
  <si>
    <t>D1502</t>
  </si>
  <si>
    <t>CERSEDU_59_D1347</t>
  </si>
  <si>
    <t>59</t>
  </si>
  <si>
    <t>D1347</t>
  </si>
  <si>
    <t>CORUGIB_50_D1452</t>
  </si>
  <si>
    <t>Corbula_gibba</t>
  </si>
  <si>
    <t>D1452</t>
  </si>
  <si>
    <t>CORUGIB_CAPES1_D1366</t>
  </si>
  <si>
    <t>D1366</t>
  </si>
  <si>
    <t>CRAGCRA_26_D1520</t>
  </si>
  <si>
    <t>Crangon_crangon</t>
  </si>
  <si>
    <t>Decapoda</t>
  </si>
  <si>
    <t>D1520</t>
  </si>
  <si>
    <t>CRAGCRA_59_D1529</t>
  </si>
  <si>
    <t>D1529</t>
  </si>
  <si>
    <t>ENSIDIR_19_D1569</t>
  </si>
  <si>
    <t>Ensis_directus</t>
  </si>
  <si>
    <t>D1569</t>
  </si>
  <si>
    <t>ENSIDIR_26_D1573</t>
  </si>
  <si>
    <t>D1573</t>
  </si>
  <si>
    <t>ENSIDIR_59_D1572</t>
  </si>
  <si>
    <t>D1572</t>
  </si>
  <si>
    <t>ENSIDIR_CAPES3_D1571</t>
  </si>
  <si>
    <t>CAPES3</t>
  </si>
  <si>
    <t>D1571</t>
  </si>
  <si>
    <t>HEDIDIV_14_D1556</t>
  </si>
  <si>
    <t>Hediste_diversicolor</t>
  </si>
  <si>
    <t>14</t>
  </si>
  <si>
    <t>D1556</t>
  </si>
  <si>
    <t>LAGIKOR_59_D1393</t>
  </si>
  <si>
    <t>Lagis_koreni</t>
  </si>
  <si>
    <t>D1393</t>
  </si>
  <si>
    <t>LAGIKOR_47_D1462</t>
  </si>
  <si>
    <t>D1462</t>
  </si>
  <si>
    <t>LAGIKOR_52_D1441</t>
  </si>
  <si>
    <t>D1441</t>
  </si>
  <si>
    <t>LAGIKOR_CAPES1_D1368</t>
  </si>
  <si>
    <t>D1368</t>
  </si>
  <si>
    <t>LAGIKOR_19_D1351</t>
  </si>
  <si>
    <t>D1351</t>
  </si>
  <si>
    <t>LAGIKOR_26_D1523</t>
  </si>
  <si>
    <t>D1523</t>
  </si>
  <si>
    <t>LAGIKOR_59_D1418</t>
  </si>
  <si>
    <t>D1418</t>
  </si>
  <si>
    <t>LAGIKOR_CAPES3_D1503</t>
  </si>
  <si>
    <t>D1503</t>
  </si>
  <si>
    <t>LANICON_19_D1355</t>
  </si>
  <si>
    <t>Lanice_conchilega</t>
  </si>
  <si>
    <t>D1355</t>
  </si>
  <si>
    <t>LIMEBAL_12_D1414</t>
  </si>
  <si>
    <t>D1414</t>
  </si>
  <si>
    <t>LIMEBAL_12_D1514</t>
  </si>
  <si>
    <t>D1514</t>
  </si>
  <si>
    <t>LIMEBAL_19_D1451</t>
  </si>
  <si>
    <t>D1451</t>
  </si>
  <si>
    <t>LIMEBAL_26_D1409</t>
  </si>
  <si>
    <t>D1409</t>
  </si>
  <si>
    <t>LIMEBAL_59_D1397</t>
  </si>
  <si>
    <t>D1397</t>
  </si>
  <si>
    <t>LIMEBAL_59_D1402</t>
  </si>
  <si>
    <t>D1402</t>
  </si>
  <si>
    <t>LIMEBAL_2_D1478</t>
  </si>
  <si>
    <t>2</t>
  </si>
  <si>
    <t>D1478</t>
  </si>
  <si>
    <t>LIMEBAL_2_D1479</t>
  </si>
  <si>
    <t>D1479</t>
  </si>
  <si>
    <t>LIMEBAL_8_D1485</t>
  </si>
  <si>
    <t>D1485</t>
  </si>
  <si>
    <t>LIMEBAL_BP2_D1488</t>
  </si>
  <si>
    <t>BP2</t>
  </si>
  <si>
    <t>D1488</t>
  </si>
  <si>
    <t>LIMEBAL_12_D1567</t>
  </si>
  <si>
    <t>D1567</t>
  </si>
  <si>
    <t>LIMEBAL_19_D1534</t>
  </si>
  <si>
    <t>D1534</t>
  </si>
  <si>
    <t>LIMEBAL_19_D1537</t>
  </si>
  <si>
    <t>D1537</t>
  </si>
  <si>
    <t>LIMEBAL_26_D1522</t>
  </si>
  <si>
    <t>D1522</t>
  </si>
  <si>
    <t>LIMEBAL_59_D1512</t>
  </si>
  <si>
    <t>D1512</t>
  </si>
  <si>
    <t>LIMEBAL_2_D1533</t>
  </si>
  <si>
    <t>D1533</t>
  </si>
  <si>
    <t>LIMEBAL_BP2_D1561</t>
  </si>
  <si>
    <t>D1561</t>
  </si>
  <si>
    <t>NEPT_19_D1558</t>
  </si>
  <si>
    <t>Nephtys</t>
  </si>
  <si>
    <t>D1558</t>
  </si>
  <si>
    <t>NEPTASS_50_D1332</t>
  </si>
  <si>
    <t>Nephtys_assimilis</t>
  </si>
  <si>
    <t>D1332</t>
  </si>
  <si>
    <t>NEPTASS_50_D1454</t>
  </si>
  <si>
    <t>D1454</t>
  </si>
  <si>
    <t>NEPTCAE_CAPES2_D1541</t>
  </si>
  <si>
    <t>Nephtys_caeca</t>
  </si>
  <si>
    <t>D1541</t>
  </si>
  <si>
    <t>NEPTCAE_47_D1457</t>
  </si>
  <si>
    <t>D1457</t>
  </si>
  <si>
    <t>NEPTCAE_52_D1431</t>
  </si>
  <si>
    <t>D1431</t>
  </si>
  <si>
    <t>NEPTCIR_50_D1337</t>
  </si>
  <si>
    <t>Nephtys_cirrosa</t>
  </si>
  <si>
    <t>D1337</t>
  </si>
  <si>
    <t>NEPTCIR_12_D1566</t>
  </si>
  <si>
    <t>D1566</t>
  </si>
  <si>
    <t>NEPTCIR_12_D1517</t>
  </si>
  <si>
    <t>D1517</t>
  </si>
  <si>
    <t>NEPTCIR_CAPES3_D1399</t>
  </si>
  <si>
    <t>D1399</t>
  </si>
  <si>
    <t>NEPTCIR_BP2_D1489</t>
  </si>
  <si>
    <t>D1489</t>
  </si>
  <si>
    <t>NEPTCIR_CAPES3_D1345</t>
  </si>
  <si>
    <t>D1345</t>
  </si>
  <si>
    <t>NEPTHOM_52_D1340</t>
  </si>
  <si>
    <t>Nephtys_hombergii</t>
  </si>
  <si>
    <t>D1340</t>
  </si>
  <si>
    <t>NEPTHOM_CAPES1_D1338</t>
  </si>
  <si>
    <t>D1338</t>
  </si>
  <si>
    <t>NEPTHOM_CAPES2_D1546</t>
  </si>
  <si>
    <t>D1546</t>
  </si>
  <si>
    <t>NEPTHOM_19_D1525</t>
  </si>
  <si>
    <t>D1525</t>
  </si>
  <si>
    <t>NEPTHOM_26_D1404</t>
  </si>
  <si>
    <t>D1404</t>
  </si>
  <si>
    <t>NEPTHOM_2_D1480</t>
  </si>
  <si>
    <t>D1480</t>
  </si>
  <si>
    <t>NEPTHOM_14_D1486</t>
  </si>
  <si>
    <t>D1486</t>
  </si>
  <si>
    <t>NEPTHOM_BP2_D1490</t>
  </si>
  <si>
    <t>D1490</t>
  </si>
  <si>
    <t>NEPTHOM_47_D1461</t>
  </si>
  <si>
    <t>D1461</t>
  </si>
  <si>
    <t>NEPTHOM_52_D1430</t>
  </si>
  <si>
    <t>D1430</t>
  </si>
  <si>
    <t>NEPTHOM_CAPES2_D1384</t>
  </si>
  <si>
    <t>D1384</t>
  </si>
  <si>
    <t>NUCUNIT_50_D1456</t>
  </si>
  <si>
    <t>Nucula_nitidosa</t>
  </si>
  <si>
    <t>D1456</t>
  </si>
  <si>
    <t>NUCUNIT_52_D1429</t>
  </si>
  <si>
    <t>D1429</t>
  </si>
  <si>
    <t>OWENFUS_50_D1341</t>
  </si>
  <si>
    <t>Owenia_fusiformis</t>
  </si>
  <si>
    <t>D1341</t>
  </si>
  <si>
    <t>OWENFUS_52_D1314</t>
  </si>
  <si>
    <t>D1314</t>
  </si>
  <si>
    <t>OWENFUS_CAPES2_D1542</t>
  </si>
  <si>
    <t>D1542</t>
  </si>
  <si>
    <t>OWENFUS_47_D1460</t>
  </si>
  <si>
    <t>D1460</t>
  </si>
  <si>
    <t>OWENFUS_50_D1450</t>
  </si>
  <si>
    <t>D1450</t>
  </si>
  <si>
    <t>OWENFUS_52_D1428</t>
  </si>
  <si>
    <t>D1428</t>
  </si>
  <si>
    <t>OWENFUS_CAPES2_D1324</t>
  </si>
  <si>
    <t>D1324</t>
  </si>
  <si>
    <t>SCROPLA_BP2_D1563</t>
  </si>
  <si>
    <t>Scrobicularia_plana</t>
  </si>
  <si>
    <t>D1563</t>
  </si>
  <si>
    <t>SPISSUB_47_D1323</t>
  </si>
  <si>
    <t>Spisula_subtruncata</t>
  </si>
  <si>
    <t>D1323</t>
  </si>
  <si>
    <t>SPISSUB_47_D1327</t>
  </si>
  <si>
    <t>D1327</t>
  </si>
  <si>
    <t>SPISSUB_52_D1326</t>
  </si>
  <si>
    <t>D1326</t>
  </si>
  <si>
    <t>SPISSUB_CAPES2_D1400</t>
  </si>
  <si>
    <t>D1400</t>
  </si>
  <si>
    <t>SPISSUB_47_D1458</t>
  </si>
  <si>
    <t>D1458</t>
  </si>
  <si>
    <t>SPISSUB_52_D1421</t>
  </si>
  <si>
    <t>D1421</t>
  </si>
  <si>
    <t>SPISSUB_52_D1422</t>
  </si>
  <si>
    <t>D1422</t>
  </si>
  <si>
    <t>SPISSUB_CAPES1_D1377</t>
  </si>
  <si>
    <t>D1377</t>
  </si>
  <si>
    <t>SPISSUB_CAPES2_D1387</t>
  </si>
  <si>
    <t>D1387</t>
  </si>
  <si>
    <t>SPISSUB_CAPES2_D1388</t>
  </si>
  <si>
    <t>D1388</t>
  </si>
  <si>
    <t>isotopes_fish_capes</t>
  </si>
  <si>
    <t>sole</t>
  </si>
  <si>
    <t>plie</t>
  </si>
  <si>
    <t>measurments in muscle</t>
  </si>
  <si>
    <t>feb 2019</t>
  </si>
  <si>
    <t>isotopes_benth_capes</t>
  </si>
  <si>
    <t>Phylum</t>
  </si>
  <si>
    <t>Class</t>
  </si>
  <si>
    <t>Order</t>
  </si>
  <si>
    <t>Family</t>
  </si>
  <si>
    <t>ScientificName</t>
  </si>
  <si>
    <t>Estomacs</t>
  </si>
  <si>
    <t>%Occ estomacs</t>
  </si>
  <si>
    <t>%Occ G0</t>
  </si>
  <si>
    <t>%Occ G1</t>
  </si>
  <si>
    <t>Grp trophique</t>
  </si>
  <si>
    <t>Durée de vie</t>
  </si>
  <si>
    <t>Annelida</t>
  </si>
  <si>
    <t>Polychaeta errantia</t>
  </si>
  <si>
    <t>Phyllodocida</t>
  </si>
  <si>
    <t>Nephtyidae</t>
  </si>
  <si>
    <t>carnivore + omnivore</t>
  </si>
  <si>
    <t>longue</t>
  </si>
  <si>
    <t>Nereididae</t>
  </si>
  <si>
    <t>Alitta succinea</t>
  </si>
  <si>
    <t>omnivore</t>
  </si>
  <si>
    <t>courte</t>
  </si>
  <si>
    <t>Nereididae sp</t>
  </si>
  <si>
    <t>mixte</t>
  </si>
  <si>
    <t>Phyllodocidae</t>
  </si>
  <si>
    <t>Eumida sp</t>
  </si>
  <si>
    <t>carnivore</t>
  </si>
  <si>
    <t>Polychaeta sedentaria</t>
  </si>
  <si>
    <t>Sabellida</t>
  </si>
  <si>
    <t>Oweniidae</t>
  </si>
  <si>
    <t>suspensivore + dépositivore de surface</t>
  </si>
  <si>
    <t>moyenne</t>
  </si>
  <si>
    <t>Spionida</t>
  </si>
  <si>
    <t>Spionidae</t>
  </si>
  <si>
    <t>Polydora ciliata</t>
  </si>
  <si>
    <t>Pygospio elegans</t>
  </si>
  <si>
    <t>Terebellida</t>
  </si>
  <si>
    <t>Pectinariidae</t>
  </si>
  <si>
    <t>dépositivore sub-surface</t>
  </si>
  <si>
    <t>Terebellidae</t>
  </si>
  <si>
    <t>Arthropoda</t>
  </si>
  <si>
    <t>Arachnida</t>
  </si>
  <si>
    <t>Trombidiformes</t>
  </si>
  <si>
    <t>Halacaridae</t>
  </si>
  <si>
    <t>Hexanauplia</t>
  </si>
  <si>
    <t>Calanoida</t>
  </si>
  <si>
    <t>Temoridae</t>
  </si>
  <si>
    <t>Harpacticoida</t>
  </si>
  <si>
    <t>Malacostraca</t>
  </si>
  <si>
    <t>Amphipoda</t>
  </si>
  <si>
    <t>Corophiidae</t>
  </si>
  <si>
    <t>Gammaridae</t>
  </si>
  <si>
    <t>Gammarus sp</t>
  </si>
  <si>
    <t>Crangonidae</t>
  </si>
  <si>
    <t>Portunidae</t>
  </si>
  <si>
    <t>Carcinus maenas</t>
  </si>
  <si>
    <t>Maxillopoda</t>
  </si>
  <si>
    <t>Sessilia</t>
  </si>
  <si>
    <t>Austrobalanidae</t>
  </si>
  <si>
    <t>Austrominius modestus</t>
  </si>
  <si>
    <t>Ostracoda</t>
  </si>
  <si>
    <t>Mollusca</t>
  </si>
  <si>
    <t>Veneroida</t>
  </si>
  <si>
    <t>Semelidae</t>
  </si>
  <si>
    <t>Adapedonta </t>
  </si>
  <si>
    <t>Pharidae</t>
  </si>
  <si>
    <t>Ensis directus</t>
  </si>
  <si>
    <t>suspensivore</t>
  </si>
  <si>
    <t>Phaxas pellucidus</t>
  </si>
  <si>
    <t>Myoida</t>
  </si>
  <si>
    <t>Corbulidae</t>
  </si>
  <si>
    <t>Mytiloida</t>
  </si>
  <si>
    <t>Mytilidae</t>
  </si>
  <si>
    <t>Mytilus edulis</t>
  </si>
  <si>
    <t>Nuculida</t>
  </si>
  <si>
    <t>Nuculidae</t>
  </si>
  <si>
    <t>dépositivore de surface</t>
  </si>
  <si>
    <t>Cardiidae</t>
  </si>
  <si>
    <t>Acanthocardia sp</t>
  </si>
  <si>
    <t>Donacidae</t>
  </si>
  <si>
    <t>Mactridae</t>
  </si>
  <si>
    <t>Tellinidae</t>
  </si>
  <si>
    <t>Eurytemora affinis</t>
  </si>
  <si>
    <t>Isotopes_capes</t>
  </si>
  <si>
    <t>? spp</t>
  </si>
  <si>
    <t>Isotopes_LPTC</t>
  </si>
  <si>
    <t>Lagis Koreni</t>
  </si>
  <si>
    <t>comment</t>
  </si>
  <si>
    <t>grosse</t>
  </si>
  <si>
    <t>grosse chair</t>
  </si>
  <si>
    <t>petite chair</t>
  </si>
  <si>
    <t>petite chair et coquilles</t>
  </si>
  <si>
    <t>chair</t>
  </si>
  <si>
    <t>très gros chair</t>
  </si>
  <si>
    <t>chair couteau</t>
  </si>
  <si>
    <t>petit</t>
  </si>
  <si>
    <t>Nephtys_sp</t>
  </si>
  <si>
    <t>Limecola_balthica</t>
  </si>
  <si>
    <t>Donax_vittatus</t>
  </si>
  <si>
    <t>Corophium_volutator</t>
  </si>
  <si>
    <t>Date_prlvt</t>
  </si>
  <si>
    <t>10-17/AS4-Sole-G0/1</t>
  </si>
  <si>
    <t>10-17/AS4-Sole-G0/4</t>
  </si>
  <si>
    <t>10-17/AS4-Sole-G0/2</t>
  </si>
  <si>
    <t>N°poissons</t>
  </si>
  <si>
    <t>06-17/EM6-Sole-G0/1</t>
  </si>
  <si>
    <t>06-17/EM6-Sole-G0/2</t>
  </si>
  <si>
    <t>06-17/EM6-Sole-G0/3</t>
  </si>
  <si>
    <t>06-17/EM6-Sole-G0/4</t>
  </si>
  <si>
    <t>06-17/EM6-Sole-G0/5</t>
  </si>
  <si>
    <t>06-17/EM6-Sole-G0/6</t>
  </si>
  <si>
    <t>06-17/EM6-Sole-G0/7</t>
  </si>
  <si>
    <t>06-17/EM1-Sole-G0/1</t>
  </si>
  <si>
    <t>06-17/EM1-Sole-G0/2</t>
  </si>
  <si>
    <t>06-17/EM1-Sole-G0/3</t>
  </si>
  <si>
    <t>06-17/EM1-Sole-G0/4</t>
  </si>
  <si>
    <t>06-17/EM2-Sole-G0/1</t>
  </si>
  <si>
    <t>06-17/EM2-Sole-G0/2</t>
  </si>
  <si>
    <t>06-17/EM2-Sole-G0/3</t>
  </si>
  <si>
    <t>06-17/AN3-Sole-G0/1</t>
  </si>
  <si>
    <t>06-17/AN2-Sole-G0/1</t>
  </si>
  <si>
    <t>06-17/AN2-Sole-G0/2</t>
  </si>
  <si>
    <t>06-17/AN2-Sole-G0/3</t>
  </si>
  <si>
    <t>06-17/AN2-Sole-G0/4</t>
  </si>
  <si>
    <t>06-17/AN2-Sole-G0/5</t>
  </si>
  <si>
    <t>06-17/AN2-Sole-G0/6</t>
  </si>
  <si>
    <t>06-17/AN2-Sole-G0/7</t>
  </si>
  <si>
    <t>06-17/AN2-Sole-G0/8</t>
  </si>
  <si>
    <t>06-17/AN2-Sole-G0/9</t>
  </si>
  <si>
    <t>06-17/AN2-Sole-G0/10</t>
  </si>
  <si>
    <t>06-17/AN2-Sole-G0/11</t>
  </si>
  <si>
    <t>06-17/AN2-Sole-G0/12</t>
  </si>
  <si>
    <t>06-17/AN2-Sole-G0/13</t>
  </si>
  <si>
    <t>06-17/AN2-Sole-G0/14</t>
  </si>
  <si>
    <t>06-17/AN2-Sole-G0/15</t>
  </si>
  <si>
    <t>06-17/AN2-Sole-G0/16</t>
  </si>
  <si>
    <t>06-17/AN2-Sole-G0/17</t>
  </si>
  <si>
    <t>06-17/AN2-Sole-G0/18</t>
  </si>
  <si>
    <t>06-17/AN2-Sole-G0/19</t>
  </si>
  <si>
    <t>06-17/AN2-Sole-G0/20</t>
  </si>
  <si>
    <t>06-17/AN2-Sole-G0/21</t>
  </si>
  <si>
    <t>06-17/AN2-Sole-G0/22</t>
  </si>
  <si>
    <t>06-17/AN2-Sole-G0/23</t>
  </si>
  <si>
    <t>06-17/AN2-Sole-G0/24</t>
  </si>
  <si>
    <t>06-17/AN2-Sole-G0/25</t>
  </si>
  <si>
    <t>06-17/AN2-Sole-G0/26</t>
  </si>
  <si>
    <t>06-17/AN2-Sole-G0/27</t>
  </si>
  <si>
    <t>06-17/AN2-Sole-G0/28</t>
  </si>
  <si>
    <t>06-17/AN2-Sole-G0/29</t>
  </si>
  <si>
    <t>06-17/AN2-Sole-G0/30</t>
  </si>
  <si>
    <t>06-17/AN2-Sole-G0/31</t>
  </si>
  <si>
    <t>06-17/AN2-Sole-G0/32</t>
  </si>
  <si>
    <t>06-17/AN2-Sole-G0/33</t>
  </si>
  <si>
    <t>06-17/AN2-Sole-G0/34</t>
  </si>
  <si>
    <t>06-17/AN2-Sole-G0/35</t>
  </si>
  <si>
    <t>06-17/AN2-Sole-G0/36</t>
  </si>
  <si>
    <t>06-17/AN2-Sole-G0/37</t>
  </si>
  <si>
    <t>06-17/AN2-Sole-G0/38</t>
  </si>
  <si>
    <t>06-17/AN2-Sole-G0/39</t>
  </si>
  <si>
    <t>06-17/AN2-Sole-G0/40</t>
  </si>
  <si>
    <t>06-17/AN2-Sole-G0/41</t>
  </si>
  <si>
    <t>06-17/AN2-Sole-G0/42</t>
  </si>
  <si>
    <t>06-17/AN2-Sole-G0/43</t>
  </si>
  <si>
    <t>06-17/AN2-Sole-G0/44</t>
  </si>
  <si>
    <t>06-17/AN2-Sole-G0/45</t>
  </si>
  <si>
    <t>06-17/AN2-Sole-G0/46</t>
  </si>
  <si>
    <t>06-17/AN2-Sole-G0/47</t>
  </si>
  <si>
    <t>06-17/AN1-Sole-G0/1</t>
  </si>
  <si>
    <t>06-17/AN1-Sole-G0/2</t>
  </si>
  <si>
    <t>06-17/AN1-Sole-G0/3</t>
  </si>
  <si>
    <t>06-17/AN1-Sole-G0/4</t>
  </si>
  <si>
    <t>06-17/AN1-Sole-G0/5</t>
  </si>
  <si>
    <t>06-17/AN1-Sole-G0/6</t>
  </si>
  <si>
    <t>06-17/AN1-Sole-G0/7</t>
  </si>
  <si>
    <t>06-17/AN1-Sole-G0/8</t>
  </si>
  <si>
    <t>06-17/AN1-Sole-G0/9</t>
  </si>
  <si>
    <t>06-17/AN1-Sole-G0/10</t>
  </si>
  <si>
    <t>06-17/AN1-Sole-G0/11</t>
  </si>
  <si>
    <t>06-17/AN1-Sole-G0/12</t>
  </si>
  <si>
    <t>06-17/AN1-Sole-G0/13</t>
  </si>
  <si>
    <t>06-17/AN1-Sole-G0/14</t>
  </si>
  <si>
    <t>06-17/AN1-Sole-G0/15</t>
  </si>
  <si>
    <t>06-17/AN1-Sole-G0/16</t>
  </si>
  <si>
    <t>06-17/AS2-Sole-G0/1</t>
  </si>
  <si>
    <t>06-17/AS2-Sole-G0/2</t>
  </si>
  <si>
    <t>06-17/AS2-Sole-G0/3</t>
  </si>
  <si>
    <t>06-17/AS2-Sole-G0/4</t>
  </si>
  <si>
    <t>06-17/AS2-Sole-G0/5</t>
  </si>
  <si>
    <t>06-17/AS2-Sole-G0/6</t>
  </si>
  <si>
    <t>06-17/AS2-Sole-G0/7</t>
  </si>
  <si>
    <t>06-17/AS2-Sole-G0/8</t>
  </si>
  <si>
    <t>06-17/AS2-Sole-G0/9</t>
  </si>
  <si>
    <t>06-17/AS2-Sole-G0/10</t>
  </si>
  <si>
    <t>06-17/AS2-Sole-G0/11</t>
  </si>
  <si>
    <t>06-17/AS2-Sole-G0/12</t>
  </si>
  <si>
    <t>06-17/AS2-Sole-G0/13</t>
  </si>
  <si>
    <t>06-17/AS2-Sole-G0/14</t>
  </si>
  <si>
    <t>06-17/AS2-Sole-G0/15</t>
  </si>
  <si>
    <t>06-17/FN3-Sole-G0/1</t>
  </si>
  <si>
    <t>06-17/FN3-Sole-G0/2</t>
  </si>
  <si>
    <t>06-17/FN3-Sole-G0/3</t>
  </si>
  <si>
    <t>06-17/FN4-Sole-G0/1</t>
  </si>
  <si>
    <t>06-17/FN4-Sole-G0/2</t>
  </si>
  <si>
    <t>06-17/FN4-Sole-G0/3</t>
  </si>
  <si>
    <t>06-17/FN4-Sole-G0/4</t>
  </si>
  <si>
    <t>06-17/FN4-Sole-G0/5</t>
  </si>
  <si>
    <t>06-17/FN4-Sole-G0/6</t>
  </si>
  <si>
    <t>06-17/FN5-Sole-G0/1</t>
  </si>
  <si>
    <t>06-17/FN5-Sole-G0/2</t>
  </si>
  <si>
    <t>06-17/FN5-Sole-G0/3</t>
  </si>
  <si>
    <t>06-17/FN8-Sole-G0/1</t>
  </si>
  <si>
    <t>06-17/FN8-Sole-G0/2</t>
  </si>
  <si>
    <t>06-17/FN8-Sole-G0/3</t>
  </si>
  <si>
    <t>06-17/FN8-Sole-G0/4</t>
  </si>
  <si>
    <t>06-17/FN8-Sole-G0/5</t>
  </si>
  <si>
    <t>06-17/FN8-Sole-G0/6</t>
  </si>
  <si>
    <t>06-17/FN8-Sole-G0/7</t>
  </si>
  <si>
    <t>06-17/CC8-FN8-Sole-G0/1</t>
  </si>
  <si>
    <t>06-17/CC8-FN8-Sole-G0/2</t>
  </si>
  <si>
    <t>06-17/CC8-FN8-Sole-G0/3</t>
  </si>
  <si>
    <t>06-17/CC8-FN8-Sole-G0/4</t>
  </si>
  <si>
    <t>06-17/CC8-FN8-Sole-G0/5</t>
  </si>
  <si>
    <t>06-17/CC8-FN8-Sole-G0/6</t>
  </si>
  <si>
    <t>06-17/CC8-FN8-Sole-G0/7</t>
  </si>
  <si>
    <t>06-17/CC8-FN8-Sole-G0/8</t>
  </si>
  <si>
    <t>06-17/CC8-FN8-Sole-G0/9</t>
  </si>
  <si>
    <t>06-17/CC8-FN8-Sole-G0/10</t>
  </si>
  <si>
    <t>06-17/CC8-FN8-Sole-G0/11</t>
  </si>
  <si>
    <t>06-17/CC8-FN8-Sole-G0/12</t>
  </si>
  <si>
    <t>06-17/CC8-FN8-Sole-G0/13</t>
  </si>
  <si>
    <t>06-17/FS3-Sole-G0/1</t>
  </si>
  <si>
    <t>06-17/FS3-Sole-G0/2</t>
  </si>
  <si>
    <t>06-17/FS3-Sole-G0/3</t>
  </si>
  <si>
    <t>06-17/FS3-Sole-G0/4</t>
  </si>
  <si>
    <t>06-17/FS3-Sole-G0/5</t>
  </si>
  <si>
    <t>06-17/FS3-Sole-G0/6</t>
  </si>
  <si>
    <t>06-17/FS3-Sole-G0/7</t>
  </si>
  <si>
    <t>06-17/FS3-Sole-G0/8</t>
  </si>
  <si>
    <t>06-17/FS3-Sole-G0/9</t>
  </si>
  <si>
    <t>06-17/FS3-Sole-G0/10</t>
  </si>
  <si>
    <t>06-17/FS3-Sole-G0/11</t>
  </si>
  <si>
    <t>06-17/FS3-Sole-G0/12</t>
  </si>
  <si>
    <t>06-17/FS3-Sole-G0/13</t>
  </si>
  <si>
    <t>06-17/FS3-Sole-G0/14</t>
  </si>
  <si>
    <t>06-17/FS5-Sole-G0/1</t>
  </si>
  <si>
    <t>06-17/FS5-Sole-G0/2</t>
  </si>
  <si>
    <t>06-17/FS5-Sole-G0/3</t>
  </si>
  <si>
    <t>06-17/FS5-Sole-G0/4</t>
  </si>
  <si>
    <t>06-17/FS5-Sole-G0/5</t>
  </si>
  <si>
    <t>06-17/FS5-Sole-G0/6</t>
  </si>
  <si>
    <t>06-17/FS5-Sole-G0/7</t>
  </si>
  <si>
    <t>06-17/FS0-Sole-G0/1</t>
  </si>
  <si>
    <t>06-17/FS0-Sole-G0/2</t>
  </si>
  <si>
    <t>06-17/CC1-FS5-Sole-G0/1</t>
  </si>
  <si>
    <t>06-17/CC1-FS5-Sole-G0/2</t>
  </si>
  <si>
    <t>06-17/CC1-FS5-Sole-G0/3</t>
  </si>
  <si>
    <t>06-17/CC1-FS5-Sole-G0/4</t>
  </si>
  <si>
    <t>06-17/CC1-FS5-Sole-G0/5</t>
  </si>
  <si>
    <t>06-17/CC1-FS5-Sole-G0/6</t>
  </si>
  <si>
    <t>06-17/CC1-FS5-Sole-G0/7</t>
  </si>
  <si>
    <t>06-17/CC1-FS5-Sole-G0/8</t>
  </si>
  <si>
    <t>06-17/CC1-FS5-Sole-G0/9</t>
  </si>
  <si>
    <t>06-17/CC1-FS5-Sole-G0/10</t>
  </si>
  <si>
    <t>06-17/CC1-FS5-Sole-G0/11</t>
  </si>
  <si>
    <t>06-17/CC1-FS5-Sole-G0/12</t>
  </si>
  <si>
    <t>06-17/CC1-FS5-Sole-G0/13</t>
  </si>
  <si>
    <t>06-17/CC1-FS5-Sole-G0/14</t>
  </si>
  <si>
    <t>06-17/CC1-FS5-Sole-G0/15</t>
  </si>
  <si>
    <t>06-17/CC1-FS5-Sole-G0/16</t>
  </si>
  <si>
    <t>06-17/CC1-FS5-Sole-G0/17</t>
  </si>
  <si>
    <t>06-17/CC1-FS5-Sole-G0/18</t>
  </si>
  <si>
    <t>06-17/CC1-FS5-Sole-G0/19</t>
  </si>
  <si>
    <t>06-17/CC1-FS5-Sole-G0/20</t>
  </si>
  <si>
    <t>06-17/C2-Sole-G0/1</t>
  </si>
  <si>
    <t>06-17/C2-Sole-G0/2</t>
  </si>
  <si>
    <t>06-17/C2-Sole-G0/3</t>
  </si>
  <si>
    <t>06-17/C2-Sole-G0/4</t>
  </si>
  <si>
    <t>06-17/C6-Sole-G0/1</t>
  </si>
  <si>
    <t>06-17/C6-Sole-G0/2</t>
  </si>
  <si>
    <t>06-17/C1-Sole-G0/1</t>
  </si>
  <si>
    <t>06-17/C1-Sole-G0/2</t>
  </si>
  <si>
    <t>06-17/C1-Sole-G0/3</t>
  </si>
  <si>
    <t>06-17/C1-Sole-G0/4</t>
  </si>
  <si>
    <t>06-17/C1-Sole-G0/5</t>
  </si>
  <si>
    <t>06-17/C1-Sole-G0/6</t>
  </si>
  <si>
    <t>06-17/C1-Sole-G0/7</t>
  </si>
  <si>
    <t>06-17/C1-Sole-G0/8</t>
  </si>
  <si>
    <t>06-17/C1-Sole-G0/9</t>
  </si>
  <si>
    <t>06-17/C1-Sole-G0/10</t>
  </si>
  <si>
    <t>06-17/C1-Sole-G0/11</t>
  </si>
  <si>
    <t>06-17/C1-Sole-G0/12</t>
  </si>
  <si>
    <t>06-17/C1-Sole-G0/13</t>
  </si>
  <si>
    <t>06-17/C1-Sole-G0/14</t>
  </si>
  <si>
    <t>06-17/C7-Sole-G0/1</t>
  </si>
  <si>
    <t>06-17/C7-Sole-G0/2</t>
  </si>
  <si>
    <t>06-17/C7-Sole-G0/3</t>
  </si>
  <si>
    <t>06-17/C7-Sole-G0/4</t>
  </si>
  <si>
    <t>06-17/C7-Sole-G0/5</t>
  </si>
  <si>
    <t>06-17/C7-Sole-G0/6</t>
  </si>
  <si>
    <t>06-17/C7-Sole-G0/7</t>
  </si>
  <si>
    <t>06-17/C7-Sole-G0/8</t>
  </si>
  <si>
    <t>06-17/C7-Sole-G0/9</t>
  </si>
  <si>
    <t>06-17/C7-Sole-G0/10</t>
  </si>
  <si>
    <t>06-17/C7-Sole-G0/11</t>
  </si>
  <si>
    <t>06-17/C7-Sole-G0/12</t>
  </si>
  <si>
    <t>06-17/C7-Sole-G0/13</t>
  </si>
  <si>
    <t>06-17/C7-Sole-G0/14</t>
  </si>
  <si>
    <t>06-17/C7-Sole-G0/15</t>
  </si>
  <si>
    <t>06-17/C7-Sole-G0/16</t>
  </si>
  <si>
    <t>06-17/C7-Sole-G0/17</t>
  </si>
  <si>
    <t>09-17/AN1-Sole-G0/10</t>
  </si>
  <si>
    <t>09-17/AN1-Sole-G0/2</t>
  </si>
  <si>
    <t>09-17/AN2-Sole-G0/4</t>
  </si>
  <si>
    <t>09-17/AN3-Sole-G0/3</t>
  </si>
  <si>
    <t>09-17/AN1-Sole-G0/3</t>
  </si>
  <si>
    <t>09-17/AN1-Sole-G0/7</t>
  </si>
  <si>
    <t>09-17/AN1-Sole-G0/1</t>
  </si>
  <si>
    <t>09-17/AN1-Sole-G0/9</t>
  </si>
  <si>
    <t>4-10-17/AN2-Sole-G0/4</t>
  </si>
  <si>
    <t>09-17/AN1-Sole-G0/6</t>
  </si>
  <si>
    <t>09-17/AS5-Sole-G0/1</t>
  </si>
  <si>
    <t>09-17/AN4-Sole-G0/2</t>
  </si>
  <si>
    <t>09-17/AN4-Sole-G0/1</t>
  </si>
  <si>
    <t>09-17/AN1-Sole-G0/8</t>
  </si>
  <si>
    <t>4-10-17/AN2-Sole-G0/2</t>
  </si>
  <si>
    <t>09-17/AN2-Sole-G0/3</t>
  </si>
  <si>
    <t>09-17/AS3-Sole-G0/1</t>
  </si>
  <si>
    <t>09-17/AN1-Sole-G0/5</t>
  </si>
  <si>
    <t>09-17/AN2-Sole-G0/1</t>
  </si>
  <si>
    <t>09-17/AN2-Sole-G0/2</t>
  </si>
  <si>
    <t>09-17/AN3-Sole-G0/2</t>
  </si>
  <si>
    <t>09-17/AN3-Sole-G0/1</t>
  </si>
  <si>
    <t>10-17/AS4-Sole-G0/5</t>
  </si>
  <si>
    <t>4-10-17/AN2-Sole-G0/3</t>
  </si>
  <si>
    <t>4-10-17/AN2-Sole-G0/5</t>
  </si>
  <si>
    <t>09-17/AN3-Sole-G0/4</t>
  </si>
  <si>
    <t>10-17/AS4-Sole-G0/6</t>
  </si>
  <si>
    <t>09-17/AN1-Sole-G0/4</t>
  </si>
  <si>
    <t>10-17/AS4-Sole-G0/3</t>
  </si>
  <si>
    <t>4-10-17/AN2-Sole-G0/1</t>
  </si>
  <si>
    <t>4-10-17/FN8-Sole-G0/6</t>
  </si>
  <si>
    <t>4-10-17/FN5-Sole-G0/2</t>
  </si>
  <si>
    <t>4-10-17/FN8-Sole-G0/9</t>
  </si>
  <si>
    <t>4-10-17/FN8-Sole-G0/3</t>
  </si>
  <si>
    <t>10-17/FN5-Sole-G0/1</t>
  </si>
  <si>
    <t>4-10-17/FN8-Sole-G0/4</t>
  </si>
  <si>
    <t>4-10-17/FN8-Sole-G0/7</t>
  </si>
  <si>
    <t>10-17/FN5-Sole-G0/2</t>
  </si>
  <si>
    <t>4-10-17/FN9-Sole-G0/1</t>
  </si>
  <si>
    <t>4-10-17/FN8-Sole-G0/10</t>
  </si>
  <si>
    <t>4-10-17/FN8-Sole-G0/8</t>
  </si>
  <si>
    <t>4-10-17/FN1-Sole-G0/1</t>
  </si>
  <si>
    <t>4-10-17/FN8-Sole-G0/2</t>
  </si>
  <si>
    <t>4-10-17/FN8-Sole-G0/14</t>
  </si>
  <si>
    <t>4-10-17/FN8-Sole-G0/13</t>
  </si>
  <si>
    <t>4-10-17/FN8-Sole-G0/15</t>
  </si>
  <si>
    <t>4-10-17/FN8-Sole-G0/1</t>
  </si>
  <si>
    <t>4-10-17/FN5-Sole-G0/1</t>
  </si>
  <si>
    <t>4-10-17/FN8-Sole-G0/12</t>
  </si>
  <si>
    <t>4-10-17/FN5-Sole-G0/4</t>
  </si>
  <si>
    <t>4-10-17/FN1-Sole-G0/4</t>
  </si>
  <si>
    <t>4-10-17/FN1-Sole-G0/2</t>
  </si>
  <si>
    <t>4-10-17/FN8-Sole-G0/11</t>
  </si>
  <si>
    <t>4-10-17/FN9-Sole-G0/2</t>
  </si>
  <si>
    <t>4-10-17/FN8-Sole-G0/5</t>
  </si>
  <si>
    <t>4-10-17/FN5-Sole-G0/3</t>
  </si>
  <si>
    <t>10-17/FN9-Sole-G0/1</t>
  </si>
  <si>
    <t>10-17/FN3-Sole-G0/1</t>
  </si>
  <si>
    <t>4-10-17/FN1-Sole-G0/3</t>
  </si>
  <si>
    <t>4-10-17/FN1-Sole-G0/5</t>
  </si>
  <si>
    <t>10-17/FS3bis-Sole-G0/12</t>
  </si>
  <si>
    <t>3-10-17/FS1-Sole-G0/4</t>
  </si>
  <si>
    <t>10-17/FS3bis-Sole-G0/19</t>
  </si>
  <si>
    <t>10-17/FS3bis-Sole-G0/11</t>
  </si>
  <si>
    <t>10-17/FS3bis-Sole-G0/21</t>
  </si>
  <si>
    <t>3-10-17/FS3-Sole-G0/1</t>
  </si>
  <si>
    <t>10-17/FS3bis-Sole-G0/10</t>
  </si>
  <si>
    <t>3-10-17/FS1-Sole-G0/2</t>
  </si>
  <si>
    <t>10-17/FS3bis-Sole-G0/9</t>
  </si>
  <si>
    <t>10-17/FS3bis-Sole-G0/13</t>
  </si>
  <si>
    <t>10-17/FS3bis-Sole-G0/8</t>
  </si>
  <si>
    <t>10-17/FS3bis-Sole-G0/18</t>
  </si>
  <si>
    <t>10-17/FS3bis-Sole-G0/1</t>
  </si>
  <si>
    <t>10-17/FS3bis-Sole-G0/20</t>
  </si>
  <si>
    <t>3-10-17/FS5-Sole-G0/2</t>
  </si>
  <si>
    <t>10-17/FS3bis-Sole-G0/3</t>
  </si>
  <si>
    <t>10-17/FS3bis-Sole-G0/15</t>
  </si>
  <si>
    <t>10-17/FS3bis-Sole-G0/22</t>
  </si>
  <si>
    <t>10-17/FS3bis-Sole-G0/7</t>
  </si>
  <si>
    <t>10-17/FS3bis-Sole-G0/24</t>
  </si>
  <si>
    <t>10-17/FS3bis-Sole-G0/17</t>
  </si>
  <si>
    <t>10-17/FS3bis-Sole-G0/2</t>
  </si>
  <si>
    <t>10-17/FS3bis-Sole-G0/14</t>
  </si>
  <si>
    <t>3-10-17/FS3-Sole-G0/2</t>
  </si>
  <si>
    <t>3-10-17/FS1-Sole-G0/3</t>
  </si>
  <si>
    <t>3-10-17/FS4-Sole-G0/1</t>
  </si>
  <si>
    <t>10-17/FS3bis-Sole-G0/5</t>
  </si>
  <si>
    <t>3-10-17/FS3-Sole-G0/3</t>
  </si>
  <si>
    <t>10-17/FS3bis-Sole-G0/4</t>
  </si>
  <si>
    <t>3-10-17/FS5-Sole-G0/1</t>
  </si>
  <si>
    <t>10-17/FS3bis-Sole-G0/23</t>
  </si>
  <si>
    <t>10-17/FS3bis-Sole-G0/16</t>
  </si>
  <si>
    <t>3-10-17/FS1-Sole-G0/1</t>
  </si>
  <si>
    <t>10-17/FS3bis-Sole-G0/25</t>
  </si>
  <si>
    <t>10-17/FS3bis-Sole-G0/6</t>
  </si>
  <si>
    <t>Indices gonado- et hépato-somatiques</t>
  </si>
  <si>
    <t>Analysis</t>
  </si>
  <si>
    <t>Unit</t>
  </si>
  <si>
    <t>Comment</t>
  </si>
  <si>
    <t>IGS</t>
  </si>
  <si>
    <t>%</t>
  </si>
  <si>
    <t>=Poids_gonades*100/Poids plein</t>
  </si>
  <si>
    <t>IHS</t>
  </si>
  <si>
    <t>=Poids_foie*100/Poids plein</t>
  </si>
  <si>
    <t>Indices de gravité des lésions hépatiqes et gonadiques</t>
  </si>
  <si>
    <t>Histo Hepatique</t>
  </si>
  <si>
    <t>Note</t>
  </si>
  <si>
    <t>Non Specific Lesions</t>
  </si>
  <si>
    <t>Necrosis</t>
  </si>
  <si>
    <t>Apoptosis</t>
  </si>
  <si>
    <t>Lipidosis</t>
  </si>
  <si>
    <t>Haemosiderosis</t>
  </si>
  <si>
    <t>Variable glycogen content</t>
  </si>
  <si>
    <t>Increased numbers and size of macrophage aggregates</t>
  </si>
  <si>
    <t>Lymphocytic infiltration</t>
  </si>
  <si>
    <t>Granuloma &amp; Abscess</t>
  </si>
  <si>
    <t>Fibrosis</t>
  </si>
  <si>
    <t>Regeneration</t>
  </si>
  <si>
    <t>Early Toxicopathic non neoplastic lesions</t>
  </si>
  <si>
    <t>Foci of cellular altreration (FCA)</t>
  </si>
  <si>
    <t>Clear cell foci</t>
  </si>
  <si>
    <t>Vacuolated foci</t>
  </si>
  <si>
    <t>Eosinophilic foci</t>
  </si>
  <si>
    <t>Basophilic foci</t>
  </si>
  <si>
    <t>Mixed cell foci</t>
  </si>
  <si>
    <t>Benign Neoplasms</t>
  </si>
  <si>
    <t>Hepatocellular adenoma</t>
  </si>
  <si>
    <t>Cholangiomas</t>
  </si>
  <si>
    <t>Hemangiomas</t>
  </si>
  <si>
    <t>Pancreatic acinar &amp; cell adenomas</t>
  </si>
  <si>
    <t>Malignant Neoplasms</t>
  </si>
  <si>
    <t>Hepatocellular carcinoma</t>
  </si>
  <si>
    <t>Cholangiocarcinoma</t>
  </si>
  <si>
    <t>Pancreatic acinar cell carcinoma</t>
  </si>
  <si>
    <t>Mixed cell carcinoma</t>
  </si>
  <si>
    <t>Other</t>
  </si>
  <si>
    <t>Histo Gonadique</t>
  </si>
  <si>
    <t>OVOGENESE</t>
  </si>
  <si>
    <t>_</t>
  </si>
  <si>
    <t>Male</t>
  </si>
  <si>
    <t>Ovocytes prévitellogéniques</t>
  </si>
  <si>
    <t>II</t>
  </si>
  <si>
    <t xml:space="preserve">Apparition de vésicules vitellines </t>
  </si>
  <si>
    <t>III</t>
  </si>
  <si>
    <t>Ovocytes remplis de vésicules vitellines</t>
  </si>
  <si>
    <t>IV</t>
  </si>
  <si>
    <t>Ovocytes avec globules vitellins + migration de la vésicules germinale</t>
  </si>
  <si>
    <t>V</t>
  </si>
  <si>
    <t>Disparition de la VG + Augmentation du volume</t>
  </si>
  <si>
    <t>Post-Ponte</t>
  </si>
  <si>
    <t>Atrésie</t>
  </si>
  <si>
    <t>AChE</t>
  </si>
  <si>
    <t>µmol/min/mg</t>
  </si>
  <si>
    <t>EROD</t>
  </si>
  <si>
    <t>pmol/min/mg</t>
  </si>
  <si>
    <t>valeurs fortes qui chez le flet permettraient de considérer l’individu comme « Impacté »</t>
  </si>
  <si>
    <t>COMET_OTM</t>
  </si>
  <si>
    <t>Olive Tail Moment</t>
  </si>
  <si>
    <t>COMET_pDNAtail</t>
  </si>
  <si>
    <t>%DNA Tail</t>
  </si>
  <si>
    <t>µNoyaux</t>
  </si>
  <si>
    <t>‰</t>
  </si>
  <si>
    <t>VTG</t>
  </si>
  <si>
    <t>ng/mL (Plasma)</t>
  </si>
  <si>
    <t>Serie</t>
  </si>
  <si>
    <t>Date de pêche</t>
  </si>
  <si>
    <t>Individu</t>
  </si>
  <si>
    <t>Stade</t>
  </si>
  <si>
    <t>LT (cm)</t>
  </si>
  <si>
    <t>LT_sd</t>
  </si>
  <si>
    <t>LS (cm)</t>
  </si>
  <si>
    <t>LS_sd</t>
  </si>
  <si>
    <t>Poids plein (g)</t>
  </si>
  <si>
    <t>Pds_plein_sd</t>
  </si>
  <si>
    <t>Poids vide (g)</t>
  </si>
  <si>
    <t>Pds_vide_sd</t>
  </si>
  <si>
    <t>Sexe</t>
  </si>
  <si>
    <t>Poids gonades (g)</t>
  </si>
  <si>
    <t>Poids foie (g)</t>
  </si>
  <si>
    <t>Remarque</t>
  </si>
  <si>
    <t>AChE_mean</t>
  </si>
  <si>
    <t>AChE_sd</t>
  </si>
  <si>
    <t>EROD_mean</t>
  </si>
  <si>
    <t>EROD_sd</t>
  </si>
  <si>
    <t>COMET_OTM_sd</t>
  </si>
  <si>
    <t>VTG_mean</t>
  </si>
  <si>
    <t>VTG_sd</t>
  </si>
  <si>
    <t>serie 1</t>
  </si>
  <si>
    <t>Emb_1-10</t>
  </si>
  <si>
    <t>FN_1-10</t>
  </si>
  <si>
    <t>FS 1</t>
  </si>
  <si>
    <t>serie 2</t>
  </si>
  <si>
    <t>G1S1</t>
  </si>
  <si>
    <t>G1S2</t>
  </si>
  <si>
    <t>G1S3</t>
  </si>
  <si>
    <t>G1S4</t>
  </si>
  <si>
    <t>G1S5</t>
  </si>
  <si>
    <t>G1S6</t>
  </si>
  <si>
    <t>G1S7</t>
  </si>
  <si>
    <t>G1S8</t>
  </si>
  <si>
    <t>G1S9</t>
  </si>
  <si>
    <t>G1S10</t>
  </si>
  <si>
    <t>G1S11</t>
  </si>
  <si>
    <t>G1S12</t>
  </si>
  <si>
    <t>G1S13</t>
  </si>
  <si>
    <t>G1S14</t>
  </si>
  <si>
    <t>G1S15</t>
  </si>
  <si>
    <t>G1S16</t>
  </si>
  <si>
    <t>G1S17</t>
  </si>
  <si>
    <t>Parasite intestinal</t>
  </si>
  <si>
    <t>G1S18</t>
  </si>
  <si>
    <t>G1S19</t>
  </si>
  <si>
    <t>G1S20</t>
  </si>
  <si>
    <t>G1S21</t>
  </si>
  <si>
    <t>G1S22</t>
  </si>
  <si>
    <t>G1S23</t>
  </si>
  <si>
    <t>G1S24</t>
  </si>
  <si>
    <t>G1S25</t>
  </si>
  <si>
    <t>G1S26</t>
  </si>
  <si>
    <t>G1S27</t>
  </si>
  <si>
    <t>G1S28</t>
  </si>
  <si>
    <t>G1S29</t>
  </si>
  <si>
    <t>G1S30</t>
  </si>
  <si>
    <t>G1S31</t>
  </si>
  <si>
    <t>G1S32</t>
  </si>
  <si>
    <t>serie 3</t>
  </si>
  <si>
    <t>G1-1</t>
  </si>
  <si>
    <t>G1-2</t>
  </si>
  <si>
    <t>G1-3</t>
  </si>
  <si>
    <t>G1-4</t>
  </si>
  <si>
    <t>G1-5</t>
  </si>
  <si>
    <t>G1-6</t>
  </si>
  <si>
    <t>G1-7</t>
  </si>
  <si>
    <t>G1-8</t>
  </si>
  <si>
    <t>G1-9</t>
  </si>
  <si>
    <t>G1-10</t>
  </si>
  <si>
    <t>G1-11</t>
  </si>
  <si>
    <t>G1-12</t>
  </si>
  <si>
    <t>G1-13</t>
  </si>
  <si>
    <t>G1-14</t>
  </si>
  <si>
    <t>G1-15</t>
  </si>
  <si>
    <t>serie 4</t>
  </si>
  <si>
    <t>G2-1</t>
  </si>
  <si>
    <t>I et II</t>
  </si>
  <si>
    <t>G2-2</t>
  </si>
  <si>
    <t>I et III</t>
  </si>
  <si>
    <t>G2-3</t>
  </si>
  <si>
    <t>G2-4</t>
  </si>
  <si>
    <t>G2-5</t>
  </si>
  <si>
    <t>G2-6</t>
  </si>
  <si>
    <t>G2-7</t>
  </si>
  <si>
    <t>G2-8</t>
  </si>
  <si>
    <t>G2-9</t>
  </si>
  <si>
    <t>G2-10</t>
  </si>
  <si>
    <t>G2-11</t>
  </si>
  <si>
    <t>G2-12</t>
  </si>
  <si>
    <t>G2-13</t>
  </si>
  <si>
    <t>G2-14</t>
  </si>
  <si>
    <t>G2-15</t>
  </si>
  <si>
    <t>Emb 1</t>
  </si>
  <si>
    <t>Emb 2</t>
  </si>
  <si>
    <t>Emb 3</t>
  </si>
  <si>
    <t>Emb 4</t>
  </si>
  <si>
    <t>Emb 5</t>
  </si>
  <si>
    <t>Emb 6</t>
  </si>
  <si>
    <t>Emb 7</t>
  </si>
  <si>
    <t>Emb 8</t>
  </si>
  <si>
    <t>Emb 9</t>
  </si>
  <si>
    <t>Emb 10</t>
  </si>
  <si>
    <t>FN 1</t>
  </si>
  <si>
    <t>FN 2</t>
  </si>
  <si>
    <t>FN 3</t>
  </si>
  <si>
    <t>FN 4</t>
  </si>
  <si>
    <t>FN 5</t>
  </si>
  <si>
    <t>FN 6</t>
  </si>
  <si>
    <t>FN 7</t>
  </si>
  <si>
    <t>FN 8</t>
  </si>
  <si>
    <t>FN 9</t>
  </si>
  <si>
    <t>FN 10</t>
  </si>
  <si>
    <t>FS 2</t>
  </si>
  <si>
    <t>FS 3</t>
  </si>
  <si>
    <t>FS 4</t>
  </si>
  <si>
    <t>FS 5</t>
  </si>
  <si>
    <t>FS 6</t>
  </si>
  <si>
    <t>FS 7</t>
  </si>
  <si>
    <t>FS 8</t>
  </si>
  <si>
    <t>FS 9</t>
  </si>
  <si>
    <t>FS 10</t>
  </si>
  <si>
    <t>RESULTS BIOMARKERS</t>
  </si>
  <si>
    <t>Sheet Solebiomark</t>
  </si>
  <si>
    <t>sole_G0pool_biomark</t>
  </si>
  <si>
    <t>SHEET "sole_G0pool_biomark"</t>
  </si>
  <si>
    <t>détail des biométries des pools d'individus G0</t>
  </si>
  <si>
    <t>b.HBCDD_pg_gdw</t>
  </si>
  <si>
    <t>a.HBCDD_pg_gdw</t>
  </si>
  <si>
    <t>g.HBCDD_pg_gdw</t>
  </si>
  <si>
    <t xml:space="preserve">PFUnDA </t>
  </si>
  <si>
    <t>6EM29</t>
  </si>
  <si>
    <t>6EM47</t>
  </si>
  <si>
    <t>6EM52</t>
  </si>
  <si>
    <t>6FNprox8</t>
  </si>
  <si>
    <t>6FNproxR8</t>
  </si>
  <si>
    <t>6FN14</t>
  </si>
  <si>
    <t>6FS19</t>
  </si>
  <si>
    <t>6FS59</t>
  </si>
  <si>
    <t>10EM29</t>
  </si>
  <si>
    <t>10EMprox47</t>
  </si>
  <si>
    <t>10EM52</t>
  </si>
  <si>
    <t>10FN8</t>
  </si>
  <si>
    <t>10FNproxR8</t>
  </si>
  <si>
    <t>10FN14</t>
  </si>
  <si>
    <t>10FS19</t>
  </si>
  <si>
    <t>10FS59</t>
  </si>
  <si>
    <t>1810EM29</t>
  </si>
  <si>
    <t>1810EMprox47</t>
  </si>
  <si>
    <t>1810EM52</t>
  </si>
  <si>
    <t>1810FNprox8</t>
  </si>
  <si>
    <t>1810FN14</t>
  </si>
  <si>
    <t>1810FNproxR8</t>
  </si>
  <si>
    <t>1810FS19</t>
  </si>
  <si>
    <t>1810FS59</t>
  </si>
  <si>
    <t>site</t>
  </si>
  <si>
    <t>EM29</t>
  </si>
  <si>
    <t>EM47</t>
  </si>
  <si>
    <t>FN14</t>
  </si>
  <si>
    <t>FNR8</t>
  </si>
  <si>
    <t>N49°28.004'</t>
  </si>
  <si>
    <t>N 49°25.128'</t>
  </si>
  <si>
    <t>N49°27.309'</t>
  </si>
  <si>
    <t>N49°27.022</t>
  </si>
  <si>
    <t>N49°26.564'</t>
  </si>
  <si>
    <t>N49°27.166</t>
  </si>
  <si>
    <t>N49°24.839'</t>
  </si>
  <si>
    <t>N49°23.948'</t>
  </si>
  <si>
    <t>N49°28.002'</t>
  </si>
  <si>
    <t>N49°24.463'</t>
  </si>
  <si>
    <t>N49°27.064'</t>
  </si>
  <si>
    <t>N49°26.865'</t>
  </si>
  <si>
    <t>N49°26.553'</t>
  </si>
  <si>
    <t>N49°27.153'</t>
  </si>
  <si>
    <t>N49°24.838'</t>
  </si>
  <si>
    <t>N49°24.754'</t>
  </si>
  <si>
    <t>N49°28.048'</t>
  </si>
  <si>
    <t>N49°24.689'</t>
  </si>
  <si>
    <t>N49°27.016'</t>
  </si>
  <si>
    <t>N49°26.901</t>
  </si>
  <si>
    <t>N49°27.152'</t>
  </si>
  <si>
    <t>N49°24.865'</t>
  </si>
  <si>
    <t>N49°24.535'</t>
  </si>
  <si>
    <t>E0°05.372'</t>
  </si>
  <si>
    <t>E 0°02.602'</t>
  </si>
  <si>
    <t>E0°00.265'</t>
  </si>
  <si>
    <t>E0°10.719'</t>
  </si>
  <si>
    <t>E0°16.243'</t>
  </si>
  <si>
    <t>E0°08.645'</t>
  </si>
  <si>
    <t>E0°08.724'</t>
  </si>
  <si>
    <t>E0°03.895'</t>
  </si>
  <si>
    <t>E0°05.365'</t>
  </si>
  <si>
    <t>E0°02.572'</t>
  </si>
  <si>
    <t>E0°00.600'</t>
  </si>
  <si>
    <t>E0°10.668'</t>
  </si>
  <si>
    <t>E0°16.253'</t>
  </si>
  <si>
    <t>E0°08.635'</t>
  </si>
  <si>
    <t>E0°08.791'</t>
  </si>
  <si>
    <t>E0°04.587'</t>
  </si>
  <si>
    <t>E0°02.680'</t>
  </si>
  <si>
    <t>E0°00.654'</t>
  </si>
  <si>
    <t>E0°10.743'</t>
  </si>
  <si>
    <t>E0°08.636'</t>
  </si>
  <si>
    <t>E0°08.876'</t>
  </si>
  <si>
    <t>E0°04.301'</t>
  </si>
  <si>
    <t>family</t>
  </si>
  <si>
    <t>sub_family_name</t>
  </si>
  <si>
    <t>FOSAs</t>
  </si>
  <si>
    <t>FOSAAs</t>
  </si>
  <si>
    <t>PFCAs</t>
  </si>
  <si>
    <t>PERFLUOROALKYLSULFONATES (PFSAs)</t>
  </si>
  <si>
    <t>PFSAs</t>
  </si>
  <si>
    <t>other</t>
  </si>
  <si>
    <t>chem_label</t>
  </si>
  <si>
    <t>PFOS(L)</t>
  </si>
  <si>
    <t>PFOS(Br)</t>
  </si>
  <si>
    <t xml:space="preserve">6:2-diPAP </t>
  </si>
  <si>
    <t xml:space="preserve">8:2-diPAP </t>
  </si>
  <si>
    <t>chemical</t>
  </si>
  <si>
    <t>linearity_domain_sediment</t>
  </si>
  <si>
    <t>CB-028</t>
  </si>
  <si>
    <t>CB-031</t>
  </si>
  <si>
    <t>CB-044</t>
  </si>
  <si>
    <t>CB-049</t>
  </si>
  <si>
    <t>CB-052</t>
  </si>
  <si>
    <t>CB-101</t>
  </si>
  <si>
    <t>CB-105</t>
  </si>
  <si>
    <t>CB-110</t>
  </si>
  <si>
    <t>CB-118</t>
  </si>
  <si>
    <t>CB-128</t>
  </si>
  <si>
    <t>CB-132</t>
  </si>
  <si>
    <t>CB-138</t>
  </si>
  <si>
    <t>CB-149</t>
  </si>
  <si>
    <t>CB-153</t>
  </si>
  <si>
    <t>CB-156</t>
  </si>
  <si>
    <t>CB-170</t>
  </si>
  <si>
    <t>CB-180</t>
  </si>
  <si>
    <t>CB-187</t>
  </si>
  <si>
    <t>CB-194</t>
  </si>
  <si>
    <t>FTSAs</t>
  </si>
  <si>
    <t>4:2-FTSA</t>
  </si>
  <si>
    <t>6:2-FTSA</t>
  </si>
  <si>
    <t>8:2-FTSA</t>
  </si>
  <si>
    <t>10:2-FTSA</t>
  </si>
  <si>
    <t>alpha-HBCDD</t>
  </si>
  <si>
    <t>beta-HBCDD</t>
  </si>
  <si>
    <t>gamma-HBCDD</t>
  </si>
  <si>
    <t>CB28_ng_gdw</t>
  </si>
  <si>
    <t>CB31_ng_gdw</t>
  </si>
  <si>
    <t>CB44_ng_gdw</t>
  </si>
  <si>
    <t>CB49_ng_gdw</t>
  </si>
  <si>
    <t>CB52_ng_gdw</t>
  </si>
  <si>
    <t>CB101_ng_gdw</t>
  </si>
  <si>
    <t>CB105_ng_gdw</t>
  </si>
  <si>
    <t>CB110_ng_gdw</t>
  </si>
  <si>
    <t>CB118_ng_gdw</t>
  </si>
  <si>
    <t>CB128_ng_gdw</t>
  </si>
  <si>
    <t>CB132_ng_gdw</t>
  </si>
  <si>
    <t>CB138_ng_gdw</t>
  </si>
  <si>
    <t>CB149_ng_gdw</t>
  </si>
  <si>
    <t>CB153_ng_gdw</t>
  </si>
  <si>
    <t>CB156_ng_gdw</t>
  </si>
  <si>
    <t>CB170_ng_gdw</t>
  </si>
  <si>
    <t>CB180_ng_gdw</t>
  </si>
  <si>
    <t>CB187_ng_gdw</t>
  </si>
  <si>
    <t>CB194_ng_gdw</t>
  </si>
  <si>
    <t>lip_dw_percent</t>
  </si>
  <si>
    <t>PFPeA_ng_gdw</t>
  </si>
  <si>
    <t>PFHxA_ng_gdw</t>
  </si>
  <si>
    <t>PFHpA_ng_gdw</t>
  </si>
  <si>
    <t>PFOA_ng_gdw</t>
  </si>
  <si>
    <t>PFNA_ng_gdw</t>
  </si>
  <si>
    <t>PFDA_ng_gdw</t>
  </si>
  <si>
    <t>PFUnDA_ng_gdw</t>
  </si>
  <si>
    <t>PFDoA_ng_gdw</t>
  </si>
  <si>
    <t>PFTrDA_ng_gdw</t>
  </si>
  <si>
    <t>PFTeDA_ng_gdw</t>
  </si>
  <si>
    <t>FOSA_ng_gdw</t>
  </si>
  <si>
    <t>FOSAA_ng_gdw</t>
  </si>
  <si>
    <t>MeFOSAA_ng_gdw</t>
  </si>
  <si>
    <t>EtFOSAA_ng_gdw</t>
  </si>
  <si>
    <t>PFBS_ng_gdw</t>
  </si>
  <si>
    <t>PFHxS_ng_gdw</t>
  </si>
  <si>
    <t>PFHpS_ng_gdw</t>
  </si>
  <si>
    <t>PFDS_ng_gdw</t>
  </si>
  <si>
    <t>PFECHS_ng_gdw</t>
  </si>
  <si>
    <t>NaDONA_ng_gdw</t>
  </si>
  <si>
    <t>june</t>
  </si>
  <si>
    <t>october</t>
  </si>
  <si>
    <t>MeFOSA_ng_gdw</t>
  </si>
  <si>
    <t>EtFOSA_ng_gdw</t>
  </si>
  <si>
    <t>L.PFOS</t>
  </si>
  <si>
    <t>Br.PFOS</t>
  </si>
  <si>
    <t>4.2_FTSA</t>
  </si>
  <si>
    <t>6.2_FTSA</t>
  </si>
  <si>
    <t>8.2_FTSA</t>
  </si>
  <si>
    <t>10.2_FTSA</t>
  </si>
  <si>
    <t xml:space="preserve">6.2_diPAP </t>
  </si>
  <si>
    <t xml:space="preserve">8.2_diPAP </t>
  </si>
  <si>
    <t xml:space="preserve">HFPO.DA </t>
  </si>
  <si>
    <t>a.HBCDD</t>
  </si>
  <si>
    <t>b.HBCDD</t>
  </si>
  <si>
    <t>g.HBCDD</t>
  </si>
  <si>
    <t>Br.PFOS_ng_gdw</t>
  </si>
  <si>
    <t>L.PFOS_ng_gdw</t>
  </si>
  <si>
    <t>4.2_FTSA_ng_gdw</t>
  </si>
  <si>
    <t>6.2_FTSA_ng_gdw</t>
  </si>
  <si>
    <t>8.2_FTSA_ng_gdw</t>
  </si>
  <si>
    <t>10.2_FTSA_ng_gdw</t>
  </si>
  <si>
    <t>6.2_diPAP_ng_gdw</t>
  </si>
  <si>
    <t>8.2_diPAP_ng_gdw</t>
  </si>
  <si>
    <t>HFPO.DA_ng_gdw</t>
  </si>
  <si>
    <t>Corg_mg_g</t>
  </si>
  <si>
    <t>Norg_mg_g</t>
  </si>
  <si>
    <t>C_over_N_mol</t>
  </si>
  <si>
    <t>0-63</t>
  </si>
  <si>
    <t>63_25</t>
  </si>
  <si>
    <t>125_250</t>
  </si>
  <si>
    <t>250_500</t>
  </si>
  <si>
    <t>500_750</t>
  </si>
  <si>
    <t>750_1000</t>
  </si>
  <si>
    <t>1000_2000</t>
  </si>
  <si>
    <t>loss_of_ignition_percent</t>
  </si>
  <si>
    <t>Ctot_mg_g</t>
  </si>
  <si>
    <t>Cmineral_mg_g</t>
  </si>
  <si>
    <t>porosity_percent</t>
  </si>
  <si>
    <t xml:space="preserve">water_percent </t>
  </si>
  <si>
    <t>date</t>
  </si>
  <si>
    <t>hour</t>
  </si>
  <si>
    <t>a.HBCDD_ng_gdw</t>
  </si>
  <si>
    <t>b.HBCDD_ng_gdw</t>
  </si>
  <si>
    <t>g.HBCDD_ng_gdw</t>
  </si>
  <si>
    <t>File from LPTC</t>
  </si>
  <si>
    <t>INFO_contam</t>
  </si>
  <si>
    <t>sub_family</t>
  </si>
  <si>
    <t>di.PAPs</t>
  </si>
  <si>
    <t>Corg_ng_g</t>
  </si>
  <si>
    <t>Corg_percent</t>
  </si>
  <si>
    <t>mass_dry_percent</t>
  </si>
  <si>
    <t>delta13C</t>
  </si>
  <si>
    <t>delta15N</t>
  </si>
  <si>
    <t xml:space="preserve">13C/12C ‰ </t>
  </si>
  <si>
    <t xml:space="preserve">15N/14N ‰ </t>
  </si>
  <si>
    <t>n_carbon</t>
  </si>
  <si>
    <t>63_125</t>
  </si>
  <si>
    <t>class</t>
  </si>
  <si>
    <t>sex</t>
  </si>
  <si>
    <t>mass_liver_gww</t>
  </si>
  <si>
    <t>mass_gods_gww</t>
  </si>
  <si>
    <t xml:space="preserve">L.PFOS_ng_gdw </t>
  </si>
  <si>
    <t xml:space="preserve">Br.PFOS_ng_gdw </t>
  </si>
  <si>
    <t>autumn</t>
  </si>
  <si>
    <t>spring</t>
  </si>
  <si>
    <t>cohort</t>
  </si>
  <si>
    <t>dry_content_percent</t>
  </si>
  <si>
    <t>Solea_solea_ C1_D1080</t>
  </si>
  <si>
    <t>Solea_solea</t>
  </si>
  <si>
    <t>Solea_solea.G0.S3</t>
  </si>
  <si>
    <t>Solea_solea_C1_D1079</t>
  </si>
  <si>
    <t>Solea_solea_C1_D1081</t>
  </si>
  <si>
    <t>Solea_solea_C1_D1143</t>
  </si>
  <si>
    <t>Solea_solea_C1_D1144</t>
  </si>
  <si>
    <t>Solea_solea_C2_D1089</t>
  </si>
  <si>
    <t>Solea_solea_C7_D1082</t>
  </si>
  <si>
    <t>Solea_solea.G0.S2</t>
  </si>
  <si>
    <t>Solea_solea_C7_D1083</t>
  </si>
  <si>
    <t>Solea_solea_C7_D1084</t>
  </si>
  <si>
    <t>Solea_solea_C7_D1085</t>
  </si>
  <si>
    <t>Solea_solea_C7_D1086</t>
  </si>
  <si>
    <t>Solea_solea_C7_D1087</t>
  </si>
  <si>
    <t>Solea_solea_C7_D1088</t>
  </si>
  <si>
    <t>Solea_solea_AN1_D1070</t>
  </si>
  <si>
    <t>Solea_solea.G0.S1</t>
  </si>
  <si>
    <t>Solea_solea_AN1_D1199</t>
  </si>
  <si>
    <t>Solea_solea_AN2_D1071</t>
  </si>
  <si>
    <t>Solea_solea_AN2_D1072</t>
  </si>
  <si>
    <t>Solea_solea_AN2_D1073</t>
  </si>
  <si>
    <t>Solea_solea_AN3_D1074</t>
  </si>
  <si>
    <t>Solea_solea_AS4_D1075</t>
  </si>
  <si>
    <t>Solea_solea_AS4_D1076</t>
  </si>
  <si>
    <t>Solea_solea_AS5_D1077</t>
  </si>
  <si>
    <t>Solea_solea_AS5_D1078</t>
  </si>
  <si>
    <t>Solea_solea_AS5_D1198</t>
  </si>
  <si>
    <t>Solea_solea_EM1-AN2_D1069</t>
  </si>
  <si>
    <t>Solea_solea_FN5_D1100</t>
  </si>
  <si>
    <t>Solea_solea_FN5_D1101</t>
  </si>
  <si>
    <t>Solea_solea_FN5_D1102</t>
  </si>
  <si>
    <t>Solea_solea_FN5_D1103</t>
  </si>
  <si>
    <t>Solea_solea_FN5_D1104</t>
  </si>
  <si>
    <t>Solea_solea_FN5_D1201</t>
  </si>
  <si>
    <t>Solea_solea_FN8_D1105</t>
  </si>
  <si>
    <t>Solea_solea_FN8_D1106</t>
  </si>
  <si>
    <t>Solea_solea_FN8_D1107</t>
  </si>
  <si>
    <t>Solea_solea_FN8_D1108</t>
  </si>
  <si>
    <t>Solea_solea_FN8_D1109</t>
  </si>
  <si>
    <t>Solea_solea_FN8_D1202</t>
  </si>
  <si>
    <t>Solea_solea_FS0_D1099</t>
  </si>
  <si>
    <t>Solea_solea_FS3_D1090</t>
  </si>
  <si>
    <t>Solea_solea_FS3_D1091</t>
  </si>
  <si>
    <t>Solea_solea_FS3_D1092</t>
  </si>
  <si>
    <t>Solea_solea_FS3_D1093</t>
  </si>
  <si>
    <t>Solea_solea_FS3_D1094</t>
  </si>
  <si>
    <t>Solea_solea_FS3_D1095</t>
  </si>
  <si>
    <t>Solea_solea_FS3_D1096</t>
  </si>
  <si>
    <t>Solea_solea_FS3_D1097</t>
  </si>
  <si>
    <t>Solea_solea_FS3_D1098</t>
  </si>
  <si>
    <t>Solea_solea_FS3_D1200</t>
  </si>
  <si>
    <t>Solea_solea_C1_D1121</t>
  </si>
  <si>
    <t>Solea_solea.G1.S3</t>
  </si>
  <si>
    <t>Solea_solea_C6_D1122</t>
  </si>
  <si>
    <t>Solea_solea.G1.S2</t>
  </si>
  <si>
    <t>Solea_solea_C7_D1120</t>
  </si>
  <si>
    <t>Solea_solea_AS4_D1110</t>
  </si>
  <si>
    <t>Solea_solea.G1.S1</t>
  </si>
  <si>
    <t>Solea_solea_AS5_D1115</t>
  </si>
  <si>
    <t>Solea_solea_AS5_D1116</t>
  </si>
  <si>
    <t>Solea_solea_AS5_D1117</t>
  </si>
  <si>
    <t>Solea_solea_AS5_D1118</t>
  </si>
  <si>
    <t>Solea_solea_AS5_D1119</t>
  </si>
  <si>
    <t>Solea_solea_AS5_D1203</t>
  </si>
  <si>
    <t>Solea_solea_AS5_D1204</t>
  </si>
  <si>
    <t>Solea_solea_AS5_D1206</t>
  </si>
  <si>
    <t>Solea_solea_AS5_D1207</t>
  </si>
  <si>
    <t>Solea_solea_EM1-AN2_D1111</t>
  </si>
  <si>
    <t>Solea_solea_EM1-AN2_D1112</t>
  </si>
  <si>
    <t>Solea_solea_EM1-AN2_D1113</t>
  </si>
  <si>
    <t>Solea_solea_EM1-AN2_D1114</t>
  </si>
  <si>
    <t>Solea_solea_FN11_D1137</t>
  </si>
  <si>
    <t>Solea_solea_FN11_D1138</t>
  </si>
  <si>
    <t>Solea_solea_FN11_D1139</t>
  </si>
  <si>
    <t>Solea_solea_FN5_D1140</t>
  </si>
  <si>
    <t>Solea_solea_FN8_D1133</t>
  </si>
  <si>
    <t>Solea_solea_FN8_D1134</t>
  </si>
  <si>
    <t>Solea_solea_FN8_D1135</t>
  </si>
  <si>
    <t>Solea_solea_FN8_D1136</t>
  </si>
  <si>
    <t>Solea_solea_FN8_D1141</t>
  </si>
  <si>
    <t>Solea_solea_FN8_D1142</t>
  </si>
  <si>
    <t>Solea_solea_FN8_D1211</t>
  </si>
  <si>
    <t>Solea_solea_FN8_D1212</t>
  </si>
  <si>
    <t>Solea_solea_FS0_D1126</t>
  </si>
  <si>
    <t>Solea_solea_FS3_D1123</t>
  </si>
  <si>
    <t>Solea_solea_FS3_D1124</t>
  </si>
  <si>
    <t>Solea_solea_FS3_D1125</t>
  </si>
  <si>
    <t>Solea_solea_FS3_D1129</t>
  </si>
  <si>
    <t>Solea_solea_FS3_D1208</t>
  </si>
  <si>
    <t>Solea_solea_FS3_D1210</t>
  </si>
  <si>
    <t>Solea_solea_FS3bis_D1130</t>
  </si>
  <si>
    <t>Solea_solea_FS3bis_D1131</t>
  </si>
  <si>
    <t>Solea_solea_FS3bis_D1132</t>
  </si>
  <si>
    <t>Solea_solea_FS3bis_D1209</t>
  </si>
  <si>
    <t>Solea_solea_FS5_D1127</t>
  </si>
  <si>
    <t>Solea_solea_FS5_D1128</t>
  </si>
  <si>
    <t>Solea_solea_CF5-C6_C0802</t>
  </si>
  <si>
    <t>Solea_solea_CF5-C6_C0803</t>
  </si>
  <si>
    <t>Solea_solea_CF5-C6_C0804</t>
  </si>
  <si>
    <t>Solea_solea_CF5-C6_C0805</t>
  </si>
  <si>
    <t>Solea_solea_CF5-C6_C0806</t>
  </si>
  <si>
    <t>Solea_solea_CC5-FN1_C0790</t>
  </si>
  <si>
    <t>Solea_solea_CC5-FN1_C0791</t>
  </si>
  <si>
    <t>Solea_solea_CC5-FN1_C0792</t>
  </si>
  <si>
    <t>Solea_solea_CC5-FN1_C0793</t>
  </si>
  <si>
    <t>Solea_solea_CC5-FN1_C0794</t>
  </si>
  <si>
    <t>Solea_solea_CC7-FN5_C0788</t>
  </si>
  <si>
    <t>Solea_solea_CC7-FN5_C0789</t>
  </si>
  <si>
    <t>Solea_solea_FN9_C0795</t>
  </si>
  <si>
    <t>Solea_solea_FS2_C0800</t>
  </si>
  <si>
    <t>Solea_solea_FS2_C0801</t>
  </si>
  <si>
    <t>Solea_solea_CC2-FS4_C0797</t>
  </si>
  <si>
    <t>Solea_solea_CC2-FS4_C0798</t>
  </si>
  <si>
    <t>Solea_solea_CC2-FS4_C0799</t>
  </si>
  <si>
    <t>Solea_solea_CC1-FS5_C0796</t>
  </si>
  <si>
    <t>Solea_solea_C1_C0728</t>
  </si>
  <si>
    <t>Solea_solea_C6_C0736</t>
  </si>
  <si>
    <t>Solea_solea_C7_C0729</t>
  </si>
  <si>
    <t>Solea_solea_C7_C0730</t>
  </si>
  <si>
    <t>Solea_solea_C7_C0731</t>
  </si>
  <si>
    <t>Solea_solea_C7_C0737</t>
  </si>
  <si>
    <t>Solea_solea_CF4-C4_C0735</t>
  </si>
  <si>
    <t>Solea_solea_CF5-C6_C0732</t>
  </si>
  <si>
    <t>Solea_solea_CF5-C6_C0733</t>
  </si>
  <si>
    <t>Solea_solea_CF5-C6_C0734</t>
  </si>
  <si>
    <t>Solea_solea_CF6-C7_C0846</t>
  </si>
  <si>
    <t>Solea_solea_CF6-C7_C0849</t>
  </si>
  <si>
    <t>Solea_solea_AN5_C0860</t>
  </si>
  <si>
    <t>Solea_solea_AS2_C0854</t>
  </si>
  <si>
    <t>Solea_solea_AS4_C0852</t>
  </si>
  <si>
    <t>Solea_solea_AS4_C0859</t>
  </si>
  <si>
    <t>Solea_solea_EM10_C0855</t>
  </si>
  <si>
    <t>Solea_solea_EM10_C0861</t>
  </si>
  <si>
    <t>Solea_solea_EM14_C0758</t>
  </si>
  <si>
    <t>Solea_solea_EM14_C0759</t>
  </si>
  <si>
    <t>Solea_solea_EM14_C0760</t>
  </si>
  <si>
    <t>Solea_solea_EM14_C0761</t>
  </si>
  <si>
    <t>Solea_solea_EM14_C0762</t>
  </si>
  <si>
    <t>Solea_solea_EM14_C0763</t>
  </si>
  <si>
    <t>Solea_solea_EM14_C0764</t>
  </si>
  <si>
    <t>Solea_solea_EM14_C0765</t>
  </si>
  <si>
    <t>Solea_solea_EM14_C0766</t>
  </si>
  <si>
    <t>Solea_solea_EM14_C0767</t>
  </si>
  <si>
    <t>Solea_solea_EM3_C0863</t>
  </si>
  <si>
    <t>Solea_solea_EM7_C0862</t>
  </si>
  <si>
    <t>Solea_solea_CC5-FN1_C0848</t>
  </si>
  <si>
    <t>Solea_solea_CC5-FN1_C0850</t>
  </si>
  <si>
    <t>Solea_solea_CC5-FN1_C0851</t>
  </si>
  <si>
    <t>Solea_solea_FN6_C0845</t>
  </si>
  <si>
    <t>Solea_solea_FN6_C0847</t>
  </si>
  <si>
    <t>Solea_solea_FN8_C0748</t>
  </si>
  <si>
    <t>Solea_solea_FN8_C0749</t>
  </si>
  <si>
    <t>Solea_solea_FN8_C0750</t>
  </si>
  <si>
    <t>Solea_solea_FN8_C0751</t>
  </si>
  <si>
    <t>Solea_solea_FN8_C0752</t>
  </si>
  <si>
    <t>Solea_solea_FN8_C0753</t>
  </si>
  <si>
    <t>Solea_solea_FN8_C0754</t>
  </si>
  <si>
    <t>Solea_solea_FN8_C0755</t>
  </si>
  <si>
    <t>Solea_solea_FN8_C0756</t>
  </si>
  <si>
    <t>Solea_solea_FN8_C0757</t>
  </si>
  <si>
    <t>Solea_solea_CF3-FS2_C0839</t>
  </si>
  <si>
    <t>Solea_solea_FS3_C0844</t>
  </si>
  <si>
    <t>Solea_solea_CF2-FS4_C0835</t>
  </si>
  <si>
    <t>Solea_solea_CF2-FS4_C0840</t>
  </si>
  <si>
    <t>Solea_solea_FS4_C0837</t>
  </si>
  <si>
    <t>Solea_solea_FS4_C0841</t>
  </si>
  <si>
    <t>Solea_solea_CF1-FS5_C0843</t>
  </si>
  <si>
    <t>Solea_solea_FS5_C0738</t>
  </si>
  <si>
    <t>Solea_solea_FS5_C0739</t>
  </si>
  <si>
    <t>Solea_solea_FS5_C0740</t>
  </si>
  <si>
    <t>Solea_solea_FS5_C0741</t>
  </si>
  <si>
    <t>Solea_solea_FS5_C0742</t>
  </si>
  <si>
    <t>Solea_solea_FS5_C0743</t>
  </si>
  <si>
    <t>Solea_solea_FS5_C0744</t>
  </si>
  <si>
    <t>Solea_solea_FS5_C0745</t>
  </si>
  <si>
    <t>Solea_solea_FS5_C0746</t>
  </si>
  <si>
    <t>Solea_solea_FS5_C0747</t>
  </si>
  <si>
    <t>Solea_solea_FS5_C0836</t>
  </si>
  <si>
    <t>Solea_solea_FS5_C0838</t>
  </si>
  <si>
    <t>Solea_solea_FS5_C0842</t>
  </si>
  <si>
    <t>num_increment</t>
  </si>
  <si>
    <t>FS12</t>
  </si>
  <si>
    <t>EM50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</si>
</sst>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i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Tahoma"/>
      <family val="2"/>
    </font>
    <font>
      <sz val="11"/>
      <color theme="1"/>
      <name val="Calibri"/>
      <family val="2"/>
    </font>
    <font>
      <b/>
      <sz val="20"/>
      <color theme="1"/>
      <name val="Arial Black"/>
      <family val="2"/>
    </font>
    <font>
      <sz val="14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u/>
      <sz val="1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gray0625"/>
    </fill>
    <fill>
      <patternFill patternType="solid">
        <fgColor theme="0" tint="-0.249977111117893"/>
        <bgColor indexed="64"/>
      </patternFill>
    </fill>
    <fill>
      <patternFill patternType="lightGray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4" fillId="0" borderId="0"/>
  </cellStyleXfs>
  <cellXfs count="549">
    <xf numFmtId="0" fontId="0" fillId="0" borderId="0" xfId="0"/>
    <xf numFmtId="0" fontId="0" fillId="0" borderId="0" xfId="0" quotePrefix="1"/>
    <xf numFmtId="0" fontId="0" fillId="0" borderId="4" xfId="0" applyBorder="1"/>
    <xf numFmtId="0" fontId="0" fillId="0" borderId="3" xfId="0" applyBorder="1"/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/>
    <xf numFmtId="0" fontId="0" fillId="0" borderId="0" xfId="0" applyFill="1" applyBorder="1"/>
    <xf numFmtId="2" fontId="1" fillId="0" borderId="0" xfId="0" applyNumberFormat="1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2" fontId="0" fillId="0" borderId="0" xfId="0" applyNumberFormat="1" applyFill="1" applyBorder="1" applyAlignment="1">
      <alignment horizontal="center"/>
    </xf>
    <xf numFmtId="2" fontId="0" fillId="0" borderId="3" xfId="0" applyNumberFormat="1" applyFill="1" applyBorder="1" applyAlignment="1">
      <alignment horizontal="center"/>
    </xf>
    <xf numFmtId="0" fontId="0" fillId="0" borderId="0" xfId="0" applyFill="1"/>
    <xf numFmtId="0" fontId="0" fillId="0" borderId="0" xfId="0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 vertical="center" wrapText="1"/>
    </xf>
    <xf numFmtId="14" fontId="0" fillId="0" borderId="0" xfId="0" applyNumberFormat="1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17" fontId="0" fillId="2" borderId="0" xfId="0" applyNumberFormat="1" applyFont="1" applyFill="1" applyAlignment="1">
      <alignment horizontal="center"/>
    </xf>
    <xf numFmtId="0" fontId="8" fillId="0" borderId="0" xfId="0" applyFont="1" applyFill="1" applyAlignment="1">
      <alignment horizontal="center"/>
    </xf>
    <xf numFmtId="165" fontId="8" fillId="0" borderId="3" xfId="0" applyNumberFormat="1" applyFont="1" applyFill="1" applyBorder="1" applyAlignment="1">
      <alignment horizontal="center"/>
    </xf>
    <xf numFmtId="0" fontId="9" fillId="0" borderId="0" xfId="0" applyFont="1" applyFill="1" applyAlignment="1">
      <alignment horizontal="center"/>
    </xf>
    <xf numFmtId="2" fontId="9" fillId="0" borderId="1" xfId="0" applyNumberFormat="1" applyFont="1" applyFill="1" applyBorder="1" applyAlignment="1">
      <alignment horizontal="center"/>
    </xf>
    <xf numFmtId="2" fontId="9" fillId="0" borderId="0" xfId="0" applyNumberFormat="1" applyFont="1" applyFill="1" applyBorder="1" applyAlignment="1">
      <alignment horizontal="center"/>
    </xf>
    <xf numFmtId="165" fontId="9" fillId="0" borderId="3" xfId="0" applyNumberFormat="1" applyFont="1" applyFill="1" applyBorder="1" applyAlignment="1">
      <alignment horizontal="center"/>
    </xf>
    <xf numFmtId="0" fontId="9" fillId="0" borderId="4" xfId="0" applyFont="1" applyFill="1" applyBorder="1" applyAlignment="1">
      <alignment horizontal="center"/>
    </xf>
    <xf numFmtId="2" fontId="9" fillId="0" borderId="0" xfId="0" applyNumberFormat="1" applyFont="1" applyFill="1" applyAlignment="1">
      <alignment horizontal="center"/>
    </xf>
    <xf numFmtId="2" fontId="5" fillId="0" borderId="0" xfId="0" applyNumberFormat="1" applyFont="1" applyFill="1" applyAlignment="1">
      <alignment horizontal="center"/>
    </xf>
    <xf numFmtId="165" fontId="9" fillId="0" borderId="0" xfId="0" applyNumberFormat="1" applyFont="1" applyFill="1" applyBorder="1" applyAlignment="1">
      <alignment horizontal="center"/>
    </xf>
    <xf numFmtId="0" fontId="9" fillId="0" borderId="0" xfId="0" applyFont="1" applyFill="1" applyAlignment="1">
      <alignment horizontal="left"/>
    </xf>
    <xf numFmtId="1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165" fontId="10" fillId="3" borderId="0" xfId="0" applyNumberFormat="1" applyFont="1" applyFill="1" applyBorder="1" applyAlignment="1" applyProtection="1">
      <alignment horizontal="center"/>
      <protection locked="0"/>
    </xf>
    <xf numFmtId="0" fontId="1" fillId="0" borderId="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Border="1"/>
    <xf numFmtId="2" fontId="0" fillId="0" borderId="0" xfId="0" applyNumberFormat="1" applyBorder="1" applyAlignment="1">
      <alignment horizontal="center"/>
    </xf>
    <xf numFmtId="2" fontId="0" fillId="0" borderId="0" xfId="0" applyNumberFormat="1" applyBorder="1"/>
    <xf numFmtId="164" fontId="0" fillId="0" borderId="0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0" xfId="0" applyNumberFormat="1" applyFill="1" applyBorder="1"/>
    <xf numFmtId="17" fontId="0" fillId="0" borderId="0" xfId="0" applyNumberFormat="1"/>
    <xf numFmtId="0" fontId="0" fillId="0" borderId="0" xfId="0" applyBorder="1" applyAlignment="1">
      <alignment horizontal="center" vertical="center"/>
    </xf>
    <xf numFmtId="2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2" fontId="0" fillId="2" borderId="0" xfId="0" applyNumberFormat="1" applyFill="1" applyBorder="1" applyAlignment="1">
      <alignment horizontal="center"/>
    </xf>
    <xf numFmtId="0" fontId="0" fillId="0" borderId="10" xfId="0" applyBorder="1"/>
    <xf numFmtId="0" fontId="0" fillId="2" borderId="0" xfId="0" applyFont="1" applyFill="1" applyBorder="1" applyAlignment="1">
      <alignment horizontal="center"/>
    </xf>
    <xf numFmtId="0" fontId="0" fillId="0" borderId="10" xfId="0" applyFon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ont="1" applyFill="1" applyBorder="1"/>
    <xf numFmtId="0" fontId="0" fillId="0" borderId="10" xfId="0" applyFill="1" applyBorder="1"/>
    <xf numFmtId="0" fontId="0" fillId="0" borderId="11" xfId="0" applyBorder="1"/>
    <xf numFmtId="0" fontId="0" fillId="0" borderId="12" xfId="0" applyBorder="1"/>
    <xf numFmtId="0" fontId="11" fillId="6" borderId="0" xfId="0" applyFont="1" applyFill="1" applyBorder="1" applyAlignment="1">
      <alignment horizontal="center" vertical="center" wrapText="1"/>
    </xf>
    <xf numFmtId="2" fontId="8" fillId="3" borderId="0" xfId="0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0" fillId="0" borderId="15" xfId="0" applyBorder="1"/>
    <xf numFmtId="0" fontId="5" fillId="0" borderId="3" xfId="0" applyFont="1" applyBorder="1"/>
    <xf numFmtId="0" fontId="9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left"/>
    </xf>
    <xf numFmtId="164" fontId="9" fillId="0" borderId="0" xfId="0" applyNumberFormat="1" applyFont="1" applyFill="1" applyBorder="1" applyAlignment="1">
      <alignment horizontal="center"/>
    </xf>
    <xf numFmtId="0" fontId="0" fillId="2" borderId="10" xfId="0" applyFont="1" applyFill="1" applyBorder="1" applyAlignment="1">
      <alignment horizontal="center"/>
    </xf>
    <xf numFmtId="17" fontId="0" fillId="2" borderId="10" xfId="0" applyNumberFormat="1" applyFont="1" applyFill="1" applyBorder="1" applyAlignment="1">
      <alignment horizontal="center"/>
    </xf>
    <xf numFmtId="0" fontId="0" fillId="0" borderId="13" xfId="0" applyBorder="1"/>
    <xf numFmtId="0" fontId="12" fillId="0" borderId="0" xfId="0" applyFont="1" applyFill="1" applyBorder="1" applyAlignment="1">
      <alignment horizontal="center"/>
    </xf>
    <xf numFmtId="0" fontId="12" fillId="6" borderId="0" xfId="0" applyFont="1" applyFill="1" applyBorder="1"/>
    <xf numFmtId="0" fontId="12" fillId="5" borderId="0" xfId="0" applyFont="1" applyFill="1" applyBorder="1" applyAlignment="1">
      <alignment horizontal="left"/>
    </xf>
    <xf numFmtId="0" fontId="13" fillId="0" borderId="3" xfId="0" applyFont="1" applyBorder="1" applyAlignment="1"/>
    <xf numFmtId="0" fontId="0" fillId="0" borderId="8" xfId="0" applyBorder="1"/>
    <xf numFmtId="0" fontId="14" fillId="0" borderId="0" xfId="0" applyFont="1" applyBorder="1"/>
    <xf numFmtId="0" fontId="14" fillId="0" borderId="10" xfId="0" applyFont="1" applyBorder="1"/>
    <xf numFmtId="0" fontId="4" fillId="0" borderId="0" xfId="0" applyFont="1"/>
    <xf numFmtId="0" fontId="0" fillId="0" borderId="16" xfId="0" applyBorder="1" applyAlignment="1">
      <alignment vertical="center"/>
    </xf>
    <xf numFmtId="0" fontId="4" fillId="0" borderId="0" xfId="0" applyFont="1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vertical="center" wrapText="1"/>
    </xf>
    <xf numFmtId="0" fontId="15" fillId="0" borderId="17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0" xfId="0" applyFont="1" applyFill="1" applyBorder="1" applyAlignment="1">
      <alignment horizontal="center"/>
    </xf>
    <xf numFmtId="0" fontId="4" fillId="0" borderId="10" xfId="0" applyFont="1" applyBorder="1"/>
    <xf numFmtId="17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3" xfId="0" applyFill="1" applyBorder="1"/>
    <xf numFmtId="17" fontId="0" fillId="0" borderId="10" xfId="0" applyNumberFormat="1" applyFont="1" applyFill="1" applyBorder="1" applyAlignment="1">
      <alignment horizontal="center"/>
    </xf>
    <xf numFmtId="0" fontId="0" fillId="0" borderId="13" xfId="0" applyFill="1" applyBorder="1"/>
    <xf numFmtId="17" fontId="0" fillId="2" borderId="0" xfId="0" applyNumberFormat="1" applyFont="1" applyFill="1" applyBorder="1" applyAlignment="1">
      <alignment horizontal="center"/>
    </xf>
    <xf numFmtId="164" fontId="12" fillId="0" borderId="0" xfId="0" applyNumberFormat="1" applyFont="1" applyFill="1" applyBorder="1" applyAlignment="1">
      <alignment horizontal="center"/>
    </xf>
    <xf numFmtId="2" fontId="12" fillId="0" borderId="0" xfId="0" applyNumberFormat="1" applyFont="1" applyFill="1" applyBorder="1" applyAlignment="1">
      <alignment horizontal="center"/>
    </xf>
    <xf numFmtId="165" fontId="2" fillId="0" borderId="13" xfId="0" applyNumberFormat="1" applyFont="1" applyBorder="1" applyAlignment="1">
      <alignment horizontal="center" vertical="center" wrapText="1"/>
    </xf>
    <xf numFmtId="165" fontId="12" fillId="0" borderId="0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165" fontId="8" fillId="0" borderId="0" xfId="0" applyNumberFormat="1" applyFont="1" applyFill="1" applyBorder="1" applyAlignment="1">
      <alignment horizontal="center"/>
    </xf>
    <xf numFmtId="0" fontId="17" fillId="9" borderId="0" xfId="0" applyFont="1" applyFill="1"/>
    <xf numFmtId="0" fontId="5" fillId="0" borderId="0" xfId="0" applyFont="1" applyAlignment="1">
      <alignment horizontal="center"/>
    </xf>
    <xf numFmtId="0" fontId="0" fillId="3" borderId="0" xfId="0" applyFill="1"/>
    <xf numFmtId="0" fontId="0" fillId="8" borderId="0" xfId="0" applyFill="1"/>
    <xf numFmtId="2" fontId="1" fillId="11" borderId="0" xfId="0" applyNumberFormat="1" applyFont="1" applyFill="1" applyBorder="1" applyAlignment="1">
      <alignment horizontal="center"/>
    </xf>
    <xf numFmtId="0" fontId="1" fillId="11" borderId="0" xfId="0" applyFont="1" applyFill="1" applyBorder="1" applyAlignment="1">
      <alignment horizontal="center"/>
    </xf>
    <xf numFmtId="0" fontId="1" fillId="0" borderId="10" xfId="0" applyFont="1" applyFill="1" applyBorder="1" applyAlignment="1">
      <alignment vertical="center"/>
    </xf>
    <xf numFmtId="2" fontId="1" fillId="11" borderId="10" xfId="0" applyNumberFormat="1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/>
    </xf>
    <xf numFmtId="0" fontId="1" fillId="13" borderId="19" xfId="0" applyFont="1" applyFill="1" applyBorder="1" applyAlignment="1">
      <alignment horizontal="center" vertical="center"/>
    </xf>
    <xf numFmtId="0" fontId="1" fillId="13" borderId="19" xfId="0" applyFont="1" applyFill="1" applyBorder="1" applyAlignment="1">
      <alignment horizontal="center" vertical="center" wrapText="1"/>
    </xf>
    <xf numFmtId="2" fontId="0" fillId="0" borderId="20" xfId="0" applyNumberFormat="1" applyFont="1" applyFill="1" applyBorder="1" applyAlignment="1">
      <alignment horizontal="center"/>
    </xf>
    <xf numFmtId="2" fontId="0" fillId="0" borderId="3" xfId="0" applyNumberFormat="1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2" fontId="0" fillId="0" borderId="13" xfId="0" applyNumberFormat="1" applyFont="1" applyFill="1" applyBorder="1" applyAlignment="1">
      <alignment horizontal="center"/>
    </xf>
    <xf numFmtId="0" fontId="0" fillId="0" borderId="13" xfId="0" applyFont="1" applyFill="1" applyBorder="1" applyAlignment="1">
      <alignment horizontal="center"/>
    </xf>
    <xf numFmtId="0" fontId="0" fillId="0" borderId="6" xfId="0" applyFont="1" applyFill="1" applyBorder="1" applyAlignment="1">
      <alignment horizontal="center"/>
    </xf>
    <xf numFmtId="2" fontId="0" fillId="0" borderId="3" xfId="0" applyNumberFormat="1" applyFill="1" applyBorder="1" applyAlignment="1"/>
    <xf numFmtId="2" fontId="0" fillId="0" borderId="3" xfId="0" applyNumberFormat="1" applyFill="1" applyBorder="1" applyAlignment="1">
      <alignment horizontal="left"/>
    </xf>
    <xf numFmtId="2" fontId="0" fillId="0" borderId="13" xfId="0" applyNumberFormat="1" applyFill="1" applyBorder="1" applyAlignment="1">
      <alignment horizontal="left"/>
    </xf>
    <xf numFmtId="0" fontId="0" fillId="0" borderId="6" xfId="0" applyFill="1" applyBorder="1"/>
    <xf numFmtId="0" fontId="0" fillId="0" borderId="3" xfId="0" applyFill="1" applyBorder="1" applyAlignment="1">
      <alignment horizontal="center"/>
    </xf>
    <xf numFmtId="2" fontId="0" fillId="0" borderId="13" xfId="0" applyNumberForma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2" fontId="0" fillId="12" borderId="3" xfId="0" applyNumberFormat="1" applyFill="1" applyBorder="1" applyAlignment="1">
      <alignment horizontal="center"/>
    </xf>
    <xf numFmtId="2" fontId="0" fillId="12" borderId="13" xfId="0" applyNumberFormat="1" applyFill="1" applyBorder="1" applyAlignment="1">
      <alignment horizontal="center"/>
    </xf>
    <xf numFmtId="2" fontId="1" fillId="12" borderId="3" xfId="0" applyNumberFormat="1" applyFont="1" applyFill="1" applyBorder="1" applyAlignment="1">
      <alignment horizontal="center"/>
    </xf>
    <xf numFmtId="2" fontId="1" fillId="12" borderId="13" xfId="0" applyNumberFormat="1" applyFont="1" applyFill="1" applyBorder="1" applyAlignment="1">
      <alignment horizontal="center"/>
    </xf>
    <xf numFmtId="166" fontId="0" fillId="0" borderId="3" xfId="0" applyNumberFormat="1" applyFill="1" applyBorder="1" applyAlignment="1">
      <alignment horizontal="center"/>
    </xf>
    <xf numFmtId="165" fontId="0" fillId="0" borderId="3" xfId="0" applyNumberFormat="1" applyFill="1" applyBorder="1" applyAlignment="1">
      <alignment horizontal="center"/>
    </xf>
    <xf numFmtId="2" fontId="0" fillId="14" borderId="3" xfId="0" applyNumberFormat="1" applyFill="1" applyBorder="1" applyAlignment="1">
      <alignment horizontal="center"/>
    </xf>
    <xf numFmtId="0" fontId="17" fillId="9" borderId="0" xfId="0" applyFont="1" applyFill="1" applyAlignment="1">
      <alignment horizontal="center"/>
    </xf>
    <xf numFmtId="0" fontId="16" fillId="15" borderId="0" xfId="0" applyFont="1" applyFill="1" applyAlignment="1">
      <alignment horizontal="left"/>
    </xf>
    <xf numFmtId="0" fontId="0" fillId="15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1" fillId="0" borderId="0" xfId="0" applyFont="1" applyFill="1" applyBorder="1" applyAlignment="1">
      <alignment horizontal="center"/>
    </xf>
    <xf numFmtId="0" fontId="8" fillId="0" borderId="20" xfId="0" applyFont="1" applyFill="1" applyBorder="1" applyAlignment="1">
      <alignment horizontal="center"/>
    </xf>
    <xf numFmtId="0" fontId="8" fillId="0" borderId="3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165" fontId="8" fillId="11" borderId="3" xfId="0" applyNumberFormat="1" applyFon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/>
    </xf>
    <xf numFmtId="165" fontId="8" fillId="6" borderId="6" xfId="0" applyNumberFormat="1" applyFont="1" applyFill="1" applyBorder="1" applyAlignment="1">
      <alignment horizontal="center"/>
    </xf>
    <xf numFmtId="165" fontId="0" fillId="0" borderId="0" xfId="0" applyNumberFormat="1" applyFill="1" applyBorder="1" applyAlignment="1">
      <alignment horizontal="center"/>
    </xf>
    <xf numFmtId="0" fontId="1" fillId="6" borderId="0" xfId="0" applyFont="1" applyFill="1" applyBorder="1" applyAlignment="1">
      <alignment horizontal="center"/>
    </xf>
    <xf numFmtId="20" fontId="0" fillId="0" borderId="0" xfId="0" applyNumberFormat="1" applyFont="1" applyFill="1" applyBorder="1" applyAlignment="1">
      <alignment horizontal="center"/>
    </xf>
    <xf numFmtId="0" fontId="0" fillId="0" borderId="1" xfId="0" applyFill="1" applyBorder="1"/>
    <xf numFmtId="2" fontId="18" fillId="11" borderId="1" xfId="0" applyNumberFormat="1" applyFont="1" applyFill="1" applyBorder="1" applyAlignment="1">
      <alignment horizontal="center"/>
    </xf>
    <xf numFmtId="2" fontId="18" fillId="11" borderId="0" xfId="0" applyNumberFormat="1" applyFont="1" applyFill="1" applyBorder="1" applyAlignment="1">
      <alignment horizontal="center"/>
    </xf>
    <xf numFmtId="2" fontId="19" fillId="11" borderId="0" xfId="0" applyNumberFormat="1" applyFont="1" applyFill="1" applyBorder="1" applyAlignment="1">
      <alignment horizontal="center"/>
    </xf>
    <xf numFmtId="2" fontId="21" fillId="0" borderId="1" xfId="0" applyNumberFormat="1" applyFont="1" applyFill="1" applyBorder="1" applyAlignment="1">
      <alignment horizontal="center"/>
    </xf>
    <xf numFmtId="165" fontId="21" fillId="0" borderId="1" xfId="0" applyNumberFormat="1" applyFont="1" applyFill="1" applyBorder="1" applyAlignment="1">
      <alignment horizontal="center"/>
    </xf>
    <xf numFmtId="2" fontId="21" fillId="0" borderId="0" xfId="0" applyNumberFormat="1" applyFont="1" applyFill="1" applyBorder="1" applyAlignment="1">
      <alignment horizontal="center"/>
    </xf>
    <xf numFmtId="2" fontId="22" fillId="0" borderId="0" xfId="0" applyNumberFormat="1" applyFont="1" applyFill="1" applyBorder="1" applyAlignment="1">
      <alignment horizontal="center"/>
    </xf>
    <xf numFmtId="2" fontId="0" fillId="12" borderId="6" xfId="0" applyNumberForma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2" fontId="18" fillId="0" borderId="0" xfId="0" applyNumberFormat="1" applyFont="1" applyFill="1" applyBorder="1" applyAlignment="1">
      <alignment horizontal="center"/>
    </xf>
    <xf numFmtId="0" fontId="20" fillId="6" borderId="1" xfId="0" applyFont="1" applyFill="1" applyBorder="1"/>
    <xf numFmtId="165" fontId="23" fillId="0" borderId="0" xfId="0" applyNumberFormat="1" applyFont="1" applyFill="1" applyBorder="1" applyAlignment="1">
      <alignment horizontal="center" vertical="center"/>
    </xf>
    <xf numFmtId="165" fontId="23" fillId="3" borderId="0" xfId="0" applyNumberFormat="1" applyFont="1" applyFill="1" applyBorder="1" applyAlignment="1">
      <alignment horizontal="center" vertical="center"/>
    </xf>
    <xf numFmtId="165" fontId="23" fillId="0" borderId="1" xfId="0" applyNumberFormat="1" applyFont="1" applyFill="1" applyBorder="1" applyAlignment="1">
      <alignment horizontal="center" vertical="center"/>
    </xf>
    <xf numFmtId="165" fontId="23" fillId="0" borderId="0" xfId="0" applyNumberFormat="1" applyFont="1" applyBorder="1" applyAlignment="1">
      <alignment horizontal="center"/>
    </xf>
    <xf numFmtId="165" fontId="23" fillId="0" borderId="0" xfId="0" applyNumberFormat="1" applyFont="1" applyBorder="1" applyAlignment="1"/>
    <xf numFmtId="165" fontId="23" fillId="0" borderId="1" xfId="0" applyNumberFormat="1" applyFont="1" applyBorder="1" applyAlignment="1">
      <alignment horizontal="center"/>
    </xf>
    <xf numFmtId="0" fontId="18" fillId="0" borderId="0" xfId="0" applyFont="1" applyFill="1" applyBorder="1" applyAlignment="1">
      <alignment horizontal="center"/>
    </xf>
    <xf numFmtId="0" fontId="18" fillId="0" borderId="0" xfId="0" applyFont="1" applyFill="1" applyBorder="1" applyAlignment="1">
      <alignment horizontal="left"/>
    </xf>
    <xf numFmtId="165" fontId="18" fillId="0" borderId="0" xfId="0" applyNumberFormat="1" applyFont="1" applyFill="1" applyBorder="1" applyAlignment="1">
      <alignment horizontal="center"/>
    </xf>
    <xf numFmtId="0" fontId="20" fillId="6" borderId="0" xfId="0" applyFont="1" applyFill="1" applyBorder="1"/>
    <xf numFmtId="0" fontId="21" fillId="0" borderId="0" xfId="0" applyFont="1" applyFill="1" applyBorder="1" applyAlignment="1">
      <alignment horizontal="center"/>
    </xf>
    <xf numFmtId="14" fontId="21" fillId="0" borderId="0" xfId="0" applyNumberFormat="1" applyFont="1" applyFill="1" applyBorder="1" applyAlignment="1">
      <alignment horizontal="center"/>
    </xf>
    <xf numFmtId="14" fontId="21" fillId="0" borderId="0" xfId="0" applyNumberFormat="1" applyFont="1" applyFill="1" applyBorder="1" applyAlignment="1">
      <alignment horizontal="left"/>
    </xf>
    <xf numFmtId="165" fontId="21" fillId="0" borderId="0" xfId="0" applyNumberFormat="1" applyFont="1" applyFill="1" applyBorder="1" applyAlignment="1">
      <alignment horizontal="center"/>
    </xf>
    <xf numFmtId="165" fontId="23" fillId="3" borderId="0" xfId="0" applyNumberFormat="1" applyFont="1" applyFill="1" applyBorder="1" applyAlignment="1">
      <alignment horizontal="center"/>
    </xf>
    <xf numFmtId="165" fontId="23" fillId="3" borderId="1" xfId="0" applyNumberFormat="1" applyFont="1" applyFill="1" applyBorder="1" applyAlignment="1">
      <alignment horizontal="center" vertical="center"/>
    </xf>
    <xf numFmtId="165" fontId="23" fillId="3" borderId="1" xfId="0" applyNumberFormat="1" applyFont="1" applyFill="1" applyBorder="1" applyAlignment="1">
      <alignment horizontal="center"/>
    </xf>
    <xf numFmtId="165" fontId="10" fillId="2" borderId="1" xfId="0" applyNumberFormat="1" applyFont="1" applyFill="1" applyBorder="1" applyAlignment="1" applyProtection="1">
      <alignment horizontal="center"/>
      <protection locked="0"/>
    </xf>
    <xf numFmtId="165" fontId="23" fillId="0" borderId="1" xfId="0" applyNumberFormat="1" applyFont="1" applyBorder="1" applyAlignment="1"/>
    <xf numFmtId="2" fontId="18" fillId="5" borderId="1" xfId="0" applyNumberFormat="1" applyFont="1" applyFill="1" applyBorder="1" applyAlignment="1">
      <alignment horizontal="center"/>
    </xf>
    <xf numFmtId="2" fontId="18" fillId="5" borderId="0" xfId="0" applyNumberFormat="1" applyFont="1" applyFill="1" applyBorder="1" applyAlignment="1">
      <alignment horizontal="center"/>
    </xf>
    <xf numFmtId="2" fontId="8" fillId="0" borderId="0" xfId="0" applyNumberFormat="1" applyFont="1" applyFill="1" applyAlignment="1">
      <alignment horizontal="center"/>
    </xf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22" xfId="0" applyBorder="1"/>
    <xf numFmtId="0" fontId="0" fillId="0" borderId="23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4" xfId="0" applyBorder="1"/>
    <xf numFmtId="0" fontId="2" fillId="16" borderId="21" xfId="0" applyFont="1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0" xfId="0" applyFill="1" applyBorder="1" applyAlignment="1">
      <alignment horizontal="center"/>
    </xf>
    <xf numFmtId="0" fontId="1" fillId="16" borderId="0" xfId="0" applyFont="1" applyFill="1" applyBorder="1" applyAlignment="1">
      <alignment horizontal="center"/>
    </xf>
    <xf numFmtId="0" fontId="0" fillId="0" borderId="23" xfId="0" quotePrefix="1" applyBorder="1"/>
    <xf numFmtId="2" fontId="8" fillId="0" borderId="3" xfId="0" applyNumberFormat="1" applyFont="1" applyFill="1" applyBorder="1" applyAlignment="1">
      <alignment horizontal="center"/>
    </xf>
    <xf numFmtId="0" fontId="12" fillId="0" borderId="20" xfId="0" applyFont="1" applyFill="1" applyBorder="1" applyAlignment="1">
      <alignment horizontal="center"/>
    </xf>
    <xf numFmtId="0" fontId="12" fillId="0" borderId="3" xfId="0" applyFont="1" applyFill="1" applyBorder="1" applyAlignment="1">
      <alignment horizontal="center"/>
    </xf>
    <xf numFmtId="164" fontId="12" fillId="0" borderId="3" xfId="0" applyNumberFormat="1" applyFont="1" applyFill="1" applyBorder="1" applyAlignment="1">
      <alignment horizontal="center"/>
    </xf>
    <xf numFmtId="2" fontId="12" fillId="0" borderId="3" xfId="0" applyNumberFormat="1" applyFont="1" applyFill="1" applyBorder="1" applyAlignment="1">
      <alignment horizontal="center"/>
    </xf>
    <xf numFmtId="165" fontId="12" fillId="0" borderId="3" xfId="0" applyNumberFormat="1" applyFont="1" applyFill="1" applyBorder="1" applyAlignment="1">
      <alignment horizontal="center"/>
    </xf>
    <xf numFmtId="0" fontId="16" fillId="16" borderId="0" xfId="0" applyFont="1" applyFill="1" applyBorder="1" applyAlignment="1">
      <alignment horizontal="center"/>
    </xf>
    <xf numFmtId="0" fontId="25" fillId="17" borderId="25" xfId="1" applyFont="1" applyFill="1" applyBorder="1" applyAlignment="1">
      <alignment horizontal="center"/>
    </xf>
    <xf numFmtId="0" fontId="25" fillId="0" borderId="26" xfId="1" applyFont="1" applyFill="1" applyBorder="1" applyAlignment="1">
      <alignment wrapText="1"/>
    </xf>
    <xf numFmtId="0" fontId="26" fillId="0" borderId="26" xfId="1" applyFont="1" applyFill="1" applyBorder="1" applyAlignment="1">
      <alignment wrapText="1"/>
    </xf>
    <xf numFmtId="0" fontId="25" fillId="0" borderId="26" xfId="1" applyFont="1" applyFill="1" applyBorder="1" applyAlignment="1">
      <alignment horizontal="right" wrapText="1"/>
    </xf>
    <xf numFmtId="2" fontId="25" fillId="0" borderId="26" xfId="1" applyNumberFormat="1" applyFont="1" applyFill="1" applyBorder="1" applyAlignment="1">
      <alignment horizontal="right" wrapText="1"/>
    </xf>
    <xf numFmtId="2" fontId="27" fillId="0" borderId="26" xfId="0" applyNumberFormat="1" applyFont="1" applyBorder="1" applyAlignment="1">
      <alignment horizontal="center"/>
    </xf>
    <xf numFmtId="0" fontId="0" fillId="0" borderId="0" xfId="0" applyFont="1" applyFill="1"/>
    <xf numFmtId="0" fontId="0" fillId="0" borderId="0" xfId="0" applyFont="1"/>
    <xf numFmtId="0" fontId="0" fillId="7" borderId="21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17" fillId="15" borderId="0" xfId="0" applyFont="1" applyFill="1"/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19" borderId="12" xfId="0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19" borderId="31" xfId="0" applyFill="1" applyBorder="1" applyAlignment="1">
      <alignment horizontal="center"/>
    </xf>
    <xf numFmtId="0" fontId="0" fillId="19" borderId="32" xfId="0" applyFill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25" fillId="0" borderId="33" xfId="1" applyFont="1" applyFill="1" applyBorder="1" applyAlignment="1">
      <alignment horizontal="center"/>
    </xf>
    <xf numFmtId="0" fontId="26" fillId="0" borderId="34" xfId="1" applyFont="1" applyFill="1" applyBorder="1" applyAlignment="1">
      <alignment horizontal="center"/>
    </xf>
    <xf numFmtId="0" fontId="25" fillId="0" borderId="34" xfId="1" applyFont="1" applyFill="1" applyBorder="1" applyAlignment="1">
      <alignment horizontal="center"/>
    </xf>
    <xf numFmtId="2" fontId="25" fillId="0" borderId="35" xfId="1" applyNumberFormat="1" applyFont="1" applyFill="1" applyBorder="1" applyAlignment="1">
      <alignment horizontal="center"/>
    </xf>
    <xf numFmtId="0" fontId="0" fillId="21" borderId="0" xfId="0" applyFill="1"/>
    <xf numFmtId="0" fontId="0" fillId="22" borderId="8" xfId="0" applyFill="1" applyBorder="1"/>
    <xf numFmtId="0" fontId="0" fillId="21" borderId="0" xfId="0" applyFill="1" applyBorder="1"/>
    <xf numFmtId="0" fontId="0" fillId="22" borderId="4" xfId="0" applyFill="1" applyBorder="1"/>
    <xf numFmtId="0" fontId="0" fillId="22" borderId="0" xfId="0" applyFill="1"/>
    <xf numFmtId="0" fontId="1" fillId="23" borderId="36" xfId="0" applyFont="1" applyFill="1" applyBorder="1"/>
    <xf numFmtId="0" fontId="0" fillId="24" borderId="8" xfId="0" applyFill="1" applyBorder="1"/>
    <xf numFmtId="0" fontId="0" fillId="24" borderId="0" xfId="0" applyFill="1" applyBorder="1"/>
    <xf numFmtId="0" fontId="0" fillId="24" borderId="4" xfId="0" applyFill="1" applyBorder="1"/>
    <xf numFmtId="0" fontId="4" fillId="0" borderId="23" xfId="0" applyFont="1" applyFill="1" applyBorder="1"/>
    <xf numFmtId="0" fontId="0" fillId="0" borderId="11" xfId="0" applyFill="1" applyBorder="1"/>
    <xf numFmtId="0" fontId="4" fillId="0" borderId="23" xfId="0" applyFont="1" applyBorder="1"/>
    <xf numFmtId="0" fontId="8" fillId="20" borderId="37" xfId="0" applyFont="1" applyFill="1" applyBorder="1" applyAlignment="1">
      <alignment horizontal="center" vertical="center" wrapText="1"/>
    </xf>
    <xf numFmtId="0" fontId="8" fillId="20" borderId="15" xfId="0" applyFont="1" applyFill="1" applyBorder="1" applyAlignment="1">
      <alignment horizontal="center" vertical="center" wrapText="1"/>
    </xf>
    <xf numFmtId="0" fontId="28" fillId="20" borderId="38" xfId="0" applyFont="1" applyFill="1" applyBorder="1" applyAlignment="1">
      <alignment horizontal="center" vertical="center" wrapText="1"/>
    </xf>
    <xf numFmtId="0" fontId="1" fillId="0" borderId="21" xfId="0" applyFont="1" applyFill="1" applyBorder="1"/>
    <xf numFmtId="0" fontId="1" fillId="0" borderId="11" xfId="0" applyFont="1" applyFill="1" applyBorder="1"/>
    <xf numFmtId="0" fontId="0" fillId="0" borderId="12" xfId="0" applyFill="1" applyBorder="1"/>
    <xf numFmtId="0" fontId="4" fillId="0" borderId="24" xfId="0" applyFont="1" applyFill="1" applyBorder="1"/>
    <xf numFmtId="0" fontId="0" fillId="0" borderId="21" xfId="0" applyBorder="1"/>
    <xf numFmtId="0" fontId="4" fillId="0" borderId="22" xfId="0" applyFont="1" applyFill="1" applyBorder="1"/>
    <xf numFmtId="0" fontId="0" fillId="0" borderId="2" xfId="0" applyFont="1" applyFill="1" applyBorder="1"/>
    <xf numFmtId="0" fontId="0" fillId="0" borderId="29" xfId="0" applyFont="1" applyFill="1" applyBorder="1"/>
    <xf numFmtId="0" fontId="0" fillId="0" borderId="28" xfId="0" applyFont="1" applyBorder="1"/>
    <xf numFmtId="0" fontId="0" fillId="0" borderId="2" xfId="0" applyFont="1" applyBorder="1"/>
    <xf numFmtId="0" fontId="0" fillId="0" borderId="29" xfId="0" applyFont="1" applyBorder="1"/>
    <xf numFmtId="0" fontId="0" fillId="0" borderId="2" xfId="0" applyBorder="1"/>
    <xf numFmtId="0" fontId="0" fillId="0" borderId="18" xfId="0" applyFill="1" applyBorder="1"/>
    <xf numFmtId="0" fontId="0" fillId="0" borderId="27" xfId="0" applyBorder="1"/>
    <xf numFmtId="0" fontId="0" fillId="0" borderId="1" xfId="0" applyBorder="1"/>
    <xf numFmtId="0" fontId="0" fillId="0" borderId="18" xfId="0" applyBorder="1"/>
    <xf numFmtId="0" fontId="8" fillId="20" borderId="27" xfId="0" applyFont="1" applyFill="1" applyBorder="1" applyAlignment="1">
      <alignment horizontal="center" vertical="center" wrapText="1"/>
    </xf>
    <xf numFmtId="0" fontId="8" fillId="20" borderId="2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24" borderId="23" xfId="0" applyFill="1" applyBorder="1" applyAlignment="1">
      <alignment horizontal="center"/>
    </xf>
    <xf numFmtId="0" fontId="1" fillId="21" borderId="0" xfId="0" applyFont="1" applyFill="1" applyBorder="1" applyAlignment="1">
      <alignment horizontal="center"/>
    </xf>
    <xf numFmtId="0" fontId="1" fillId="23" borderId="0" xfId="0" applyFont="1" applyFill="1" applyBorder="1" applyAlignment="1">
      <alignment horizontal="center"/>
    </xf>
    <xf numFmtId="0" fontId="0" fillId="22" borderId="23" xfId="0" applyFill="1" applyBorder="1" applyAlignment="1">
      <alignment horizontal="center"/>
    </xf>
    <xf numFmtId="0" fontId="1" fillId="23" borderId="23" xfId="0" applyFont="1" applyFill="1" applyBorder="1" applyAlignment="1">
      <alignment horizontal="center"/>
    </xf>
    <xf numFmtId="0" fontId="0" fillId="24" borderId="24" xfId="0" applyFill="1" applyBorder="1" applyAlignment="1">
      <alignment horizontal="center"/>
    </xf>
    <xf numFmtId="0" fontId="29" fillId="0" borderId="23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9" fillId="0" borderId="24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21" borderId="21" xfId="0" applyFont="1" applyFill="1" applyBorder="1" applyAlignment="1">
      <alignment horizontal="center"/>
    </xf>
    <xf numFmtId="0" fontId="1" fillId="21" borderId="16" xfId="0" applyFont="1" applyFill="1" applyBorder="1" applyAlignment="1">
      <alignment horizontal="center"/>
    </xf>
    <xf numFmtId="0" fontId="1" fillId="22" borderId="11" xfId="0" applyFont="1" applyFill="1" applyBorder="1" applyAlignment="1">
      <alignment horizontal="center"/>
    </xf>
    <xf numFmtId="0" fontId="1" fillId="22" borderId="0" xfId="0" applyFont="1" applyFill="1" applyBorder="1" applyAlignment="1">
      <alignment horizontal="center"/>
    </xf>
    <xf numFmtId="0" fontId="1" fillId="21" borderId="11" xfId="0" applyFont="1" applyFill="1" applyBorder="1" applyAlignment="1">
      <alignment horizontal="center"/>
    </xf>
    <xf numFmtId="0" fontId="1" fillId="23" borderId="11" xfId="0" applyFont="1" applyFill="1" applyBorder="1" applyAlignment="1">
      <alignment horizontal="center"/>
    </xf>
    <xf numFmtId="0" fontId="1" fillId="24" borderId="11" xfId="0" applyFont="1" applyFill="1" applyBorder="1" applyAlignment="1">
      <alignment horizontal="center"/>
    </xf>
    <xf numFmtId="0" fontId="1" fillId="24" borderId="0" xfId="0" applyFont="1" applyFill="1" applyBorder="1" applyAlignment="1">
      <alignment horizontal="center"/>
    </xf>
    <xf numFmtId="0" fontId="1" fillId="24" borderId="12" xfId="0" applyFont="1" applyFill="1" applyBorder="1" applyAlignment="1">
      <alignment horizontal="center"/>
    </xf>
    <xf numFmtId="0" fontId="1" fillId="24" borderId="10" xfId="0" applyFont="1" applyFill="1" applyBorder="1" applyAlignment="1">
      <alignment horizontal="center"/>
    </xf>
    <xf numFmtId="0" fontId="1" fillId="0" borderId="11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2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27" xfId="0" applyFont="1" applyFill="1" applyBorder="1"/>
    <xf numFmtId="0" fontId="0" fillId="0" borderId="15" xfId="0" applyFont="1" applyFill="1" applyBorder="1"/>
    <xf numFmtId="0" fontId="0" fillId="0" borderId="28" xfId="0" applyFont="1" applyFill="1" applyBorder="1"/>
    <xf numFmtId="0" fontId="0" fillId="0" borderId="1" xfId="0" applyFont="1" applyFill="1" applyBorder="1"/>
    <xf numFmtId="0" fontId="0" fillId="0" borderId="3" xfId="0" applyFont="1" applyFill="1" applyBorder="1"/>
    <xf numFmtId="0" fontId="0" fillId="0" borderId="0" xfId="0" applyAlignment="1">
      <alignment vertical="center"/>
    </xf>
    <xf numFmtId="0" fontId="5" fillId="22" borderId="11" xfId="0" applyFont="1" applyFill="1" applyBorder="1" applyAlignment="1">
      <alignment horizontal="center"/>
    </xf>
    <xf numFmtId="0" fontId="5" fillId="24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29" fillId="22" borderId="0" xfId="0" applyFont="1" applyFill="1" applyBorder="1" applyAlignment="1">
      <alignment horizontal="center"/>
    </xf>
    <xf numFmtId="0" fontId="29" fillId="24" borderId="0" xfId="0" applyFont="1" applyFill="1" applyBorder="1" applyAlignment="1">
      <alignment horizontal="center"/>
    </xf>
    <xf numFmtId="0" fontId="0" fillId="22" borderId="11" xfId="0" applyFill="1" applyBorder="1" applyAlignment="1">
      <alignment horizontal="center"/>
    </xf>
    <xf numFmtId="0" fontId="0" fillId="24" borderId="11" xfId="0" applyFill="1" applyBorder="1" applyAlignment="1">
      <alignment horizontal="center"/>
    </xf>
    <xf numFmtId="0" fontId="0" fillId="24" borderId="12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1" fillId="25" borderId="21" xfId="0" applyFont="1" applyFill="1" applyBorder="1" applyAlignment="1">
      <alignment horizontal="center" vertical="center" wrapText="1"/>
    </xf>
    <xf numFmtId="9" fontId="0" fillId="21" borderId="0" xfId="0" applyNumberFormat="1" applyFill="1" applyBorder="1" applyAlignment="1">
      <alignment horizontal="center"/>
    </xf>
    <xf numFmtId="9" fontId="0" fillId="24" borderId="0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22" borderId="0" xfId="0" applyNumberFormat="1" applyFill="1" applyBorder="1" applyAlignment="1">
      <alignment horizontal="center"/>
    </xf>
    <xf numFmtId="9" fontId="1" fillId="23" borderId="0" xfId="0" applyNumberFormat="1" applyFont="1" applyFill="1" applyBorder="1" applyAlignment="1">
      <alignment horizontal="center"/>
    </xf>
    <xf numFmtId="9" fontId="0" fillId="0" borderId="23" xfId="0" applyNumberFormat="1" applyBorder="1" applyAlignment="1">
      <alignment horizontal="center"/>
    </xf>
    <xf numFmtId="9" fontId="5" fillId="0" borderId="23" xfId="0" applyNumberFormat="1" applyFont="1" applyBorder="1" applyAlignment="1">
      <alignment horizontal="center"/>
    </xf>
    <xf numFmtId="9" fontId="0" fillId="0" borderId="24" xfId="0" applyNumberFormat="1" applyBorder="1" applyAlignment="1">
      <alignment horizontal="center"/>
    </xf>
    <xf numFmtId="9" fontId="0" fillId="0" borderId="22" xfId="0" applyNumberFormat="1" applyBorder="1" applyAlignment="1">
      <alignment horizontal="center"/>
    </xf>
    <xf numFmtId="0" fontId="0" fillId="21" borderId="33" xfId="0" applyFill="1" applyBorder="1"/>
    <xf numFmtId="0" fontId="0" fillId="21" borderId="34" xfId="0" applyFill="1" applyBorder="1"/>
    <xf numFmtId="0" fontId="0" fillId="22" borderId="34" xfId="0" applyFill="1" applyBorder="1"/>
    <xf numFmtId="0" fontId="0" fillId="24" borderId="34" xfId="0" applyFill="1" applyBorder="1"/>
    <xf numFmtId="0" fontId="9" fillId="0" borderId="34" xfId="0" applyFont="1" applyBorder="1"/>
    <xf numFmtId="0" fontId="1" fillId="23" borderId="34" xfId="0" applyFont="1" applyFill="1" applyBorder="1"/>
    <xf numFmtId="0" fontId="0" fillId="24" borderId="35" xfId="0" applyFill="1" applyBorder="1"/>
    <xf numFmtId="0" fontId="0" fillId="21" borderId="22" xfId="0" applyFill="1" applyBorder="1" applyAlignment="1">
      <alignment horizontal="center"/>
    </xf>
    <xf numFmtId="0" fontId="0" fillId="21" borderId="2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1" fillId="25" borderId="39" xfId="0" applyFont="1" applyFill="1" applyBorder="1" applyAlignment="1">
      <alignment horizontal="center" vertical="center"/>
    </xf>
    <xf numFmtId="9" fontId="1" fillId="25" borderId="40" xfId="0" applyNumberFormat="1" applyFont="1" applyFill="1" applyBorder="1" applyAlignment="1">
      <alignment horizontal="center" vertical="center"/>
    </xf>
    <xf numFmtId="0" fontId="1" fillId="25" borderId="33" xfId="0" applyFont="1" applyFill="1" applyBorder="1" applyAlignment="1">
      <alignment horizontal="center" vertical="center"/>
    </xf>
    <xf numFmtId="0" fontId="1" fillId="21" borderId="15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4" borderId="1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25" borderId="38" xfId="0" applyFont="1" applyFill="1" applyBorder="1" applyAlignment="1">
      <alignment horizontal="center" vertical="center" wrapText="1"/>
    </xf>
    <xf numFmtId="0" fontId="1" fillId="21" borderId="38" xfId="0" applyFont="1" applyFill="1" applyBorder="1" applyAlignment="1">
      <alignment horizontal="center"/>
    </xf>
    <xf numFmtId="0" fontId="5" fillId="22" borderId="41" xfId="0" applyFont="1" applyFill="1" applyBorder="1" applyAlignment="1">
      <alignment horizontal="center"/>
    </xf>
    <xf numFmtId="0" fontId="1" fillId="21" borderId="41" xfId="0" applyFont="1" applyFill="1" applyBorder="1" applyAlignment="1">
      <alignment horizontal="center"/>
    </xf>
    <xf numFmtId="0" fontId="0" fillId="22" borderId="41" xfId="0" applyFill="1" applyBorder="1" applyAlignment="1">
      <alignment horizontal="center"/>
    </xf>
    <xf numFmtId="0" fontId="1" fillId="23" borderId="41" xfId="0" applyFont="1" applyFill="1" applyBorder="1" applyAlignment="1">
      <alignment horizontal="center"/>
    </xf>
    <xf numFmtId="0" fontId="5" fillId="24" borderId="41" xfId="0" applyFont="1" applyFill="1" applyBorder="1" applyAlignment="1">
      <alignment horizontal="center"/>
    </xf>
    <xf numFmtId="0" fontId="0" fillId="24" borderId="41" xfId="0" applyFill="1" applyBorder="1" applyAlignment="1">
      <alignment horizontal="center"/>
    </xf>
    <xf numFmtId="0" fontId="0" fillId="24" borderId="14" xfId="0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1" xfId="0" applyFont="1" applyBorder="1" applyAlignment="1">
      <alignment horizontal="center"/>
    </xf>
    <xf numFmtId="0" fontId="0" fillId="0" borderId="41" xfId="0" applyBorder="1" applyAlignment="1">
      <alignment horizontal="center"/>
    </xf>
    <xf numFmtId="0" fontId="5" fillId="0" borderId="14" xfId="0" applyFont="1" applyBorder="1" applyAlignment="1">
      <alignment horizontal="center"/>
    </xf>
    <xf numFmtId="9" fontId="1" fillId="25" borderId="17" xfId="0" applyNumberFormat="1" applyFont="1" applyFill="1" applyBorder="1" applyAlignment="1">
      <alignment horizontal="center" vertical="center"/>
    </xf>
    <xf numFmtId="9" fontId="1" fillId="21" borderId="3" xfId="0" applyNumberFormat="1" applyFont="1" applyFill="1" applyBorder="1" applyAlignment="1">
      <alignment horizontal="center"/>
    </xf>
    <xf numFmtId="9" fontId="0" fillId="22" borderId="3" xfId="0" applyNumberFormat="1" applyFill="1" applyBorder="1" applyAlignment="1">
      <alignment horizontal="center"/>
    </xf>
    <xf numFmtId="9" fontId="1" fillId="22" borderId="3" xfId="0" applyNumberFormat="1" applyFont="1" applyFill="1" applyBorder="1" applyAlignment="1">
      <alignment horizontal="center"/>
    </xf>
    <xf numFmtId="9" fontId="1" fillId="23" borderId="3" xfId="0" applyNumberFormat="1" applyFont="1" applyFill="1" applyBorder="1" applyAlignment="1">
      <alignment horizontal="center"/>
    </xf>
    <xf numFmtId="9" fontId="0" fillId="24" borderId="3" xfId="0" applyNumberFormat="1" applyFill="1" applyBorder="1" applyAlignment="1">
      <alignment horizontal="center"/>
    </xf>
    <xf numFmtId="9" fontId="0" fillId="0" borderId="15" xfId="0" applyNumberForma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9" fontId="5" fillId="0" borderId="3" xfId="0" applyNumberFormat="1" applyFont="1" applyBorder="1" applyAlignment="1">
      <alignment horizontal="center"/>
    </xf>
    <xf numFmtId="9" fontId="0" fillId="21" borderId="3" xfId="0" applyNumberFormat="1" applyFill="1" applyBorder="1" applyAlignment="1">
      <alignment horizontal="center"/>
    </xf>
    <xf numFmtId="0" fontId="8" fillId="6" borderId="21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1" fillId="11" borderId="22" xfId="0" applyFont="1" applyFill="1" applyBorder="1" applyAlignment="1">
      <alignment horizontal="center" vertical="center"/>
    </xf>
    <xf numFmtId="0" fontId="4" fillId="3" borderId="23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4" fillId="3" borderId="24" xfId="0" applyFont="1" applyFill="1" applyBorder="1"/>
    <xf numFmtId="0" fontId="4" fillId="3" borderId="16" xfId="0" applyFont="1" applyFill="1" applyBorder="1"/>
    <xf numFmtId="165" fontId="9" fillId="3" borderId="0" xfId="0" applyNumberFormat="1" applyFont="1" applyFill="1" applyBorder="1" applyAlignment="1" applyProtection="1">
      <alignment horizontal="center"/>
      <protection locked="0"/>
    </xf>
    <xf numFmtId="2" fontId="9" fillId="3" borderId="0" xfId="0" applyNumberFormat="1" applyFont="1" applyFill="1" applyBorder="1" applyAlignment="1" applyProtection="1">
      <alignment horizontal="center"/>
      <protection locked="0"/>
    </xf>
    <xf numFmtId="2" fontId="9" fillId="8" borderId="0" xfId="0" applyNumberFormat="1" applyFont="1" applyFill="1" applyBorder="1" applyAlignment="1" applyProtection="1">
      <alignment horizontal="center"/>
      <protection locked="0"/>
    </xf>
    <xf numFmtId="165" fontId="9" fillId="8" borderId="0" xfId="0" applyNumberFormat="1" applyFont="1" applyFill="1" applyBorder="1" applyAlignment="1" applyProtection="1">
      <alignment horizontal="center"/>
      <protection locked="0"/>
    </xf>
    <xf numFmtId="14" fontId="12" fillId="0" borderId="0" xfId="0" applyNumberFormat="1" applyFont="1" applyFill="1" applyBorder="1" applyAlignment="1">
      <alignment horizontal="center"/>
    </xf>
    <xf numFmtId="14" fontId="9" fillId="0" borderId="0" xfId="0" applyNumberFormat="1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165" fontId="0" fillId="0" borderId="10" xfId="0" applyNumberFormat="1" applyFill="1" applyBorder="1" applyAlignment="1">
      <alignment horizontal="center"/>
    </xf>
    <xf numFmtId="164" fontId="0" fillId="0" borderId="10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8" xfId="0" applyBorder="1" applyAlignment="1">
      <alignment horizontal="center"/>
    </xf>
    <xf numFmtId="165" fontId="0" fillId="0" borderId="8" xfId="0" applyNumberFormat="1" applyBorder="1" applyAlignment="1">
      <alignment horizontal="center"/>
    </xf>
    <xf numFmtId="14" fontId="30" fillId="5" borderId="42" xfId="0" applyNumberFormat="1" applyFont="1" applyFill="1" applyBorder="1" applyAlignment="1">
      <alignment horizontal="right"/>
    </xf>
    <xf numFmtId="14" fontId="30" fillId="10" borderId="42" xfId="0" applyNumberFormat="1" applyFont="1" applyFill="1" applyBorder="1" applyAlignment="1">
      <alignment horizontal="center"/>
    </xf>
    <xf numFmtId="14" fontId="30" fillId="5" borderId="42" xfId="0" applyNumberFormat="1" applyFont="1" applyFill="1" applyBorder="1" applyAlignment="1">
      <alignment horizontal="center"/>
    </xf>
    <xf numFmtId="14" fontId="30" fillId="3" borderId="42" xfId="0" applyNumberFormat="1" applyFont="1" applyFill="1" applyBorder="1" applyAlignment="1">
      <alignment horizontal="center"/>
    </xf>
    <xf numFmtId="0" fontId="9" fillId="0" borderId="0" xfId="0" applyFont="1" applyBorder="1"/>
    <xf numFmtId="0" fontId="11" fillId="26" borderId="42" xfId="0" applyFont="1" applyFill="1" applyBorder="1" applyAlignment="1">
      <alignment horizontal="center"/>
    </xf>
    <xf numFmtId="0" fontId="30" fillId="5" borderId="42" xfId="0" applyFont="1" applyFill="1" applyBorder="1"/>
    <xf numFmtId="0" fontId="30" fillId="10" borderId="42" xfId="0" applyFont="1" applyFill="1" applyBorder="1"/>
    <xf numFmtId="0" fontId="30" fillId="3" borderId="42" xfId="0" applyFont="1" applyFill="1" applyBorder="1"/>
    <xf numFmtId="0" fontId="32" fillId="27" borderId="0" xfId="0" applyFont="1" applyFill="1"/>
    <xf numFmtId="0" fontId="31" fillId="27" borderId="0" xfId="0" applyFont="1" applyFill="1"/>
    <xf numFmtId="0" fontId="1" fillId="0" borderId="0" xfId="0" applyFont="1" applyFill="1"/>
    <xf numFmtId="0" fontId="33" fillId="27" borderId="17" xfId="0" applyFont="1" applyFill="1" applyBorder="1"/>
    <xf numFmtId="0" fontId="0" fillId="0" borderId="0" xfId="0" quotePrefix="1" applyFill="1"/>
    <xf numFmtId="0" fontId="33" fillId="27" borderId="15" xfId="0" applyFont="1" applyFill="1" applyBorder="1"/>
    <xf numFmtId="0" fontId="33" fillId="0" borderId="0" xfId="0" applyFont="1" applyFill="1" applyBorder="1"/>
    <xf numFmtId="0" fontId="0" fillId="27" borderId="0" xfId="0" applyFill="1"/>
    <xf numFmtId="0" fontId="32" fillId="0" borderId="0" xfId="0" applyFont="1" applyFill="1"/>
    <xf numFmtId="0" fontId="0" fillId="27" borderId="0" xfId="0" applyFill="1" applyBorder="1"/>
    <xf numFmtId="0" fontId="9" fillId="0" borderId="0" xfId="0" applyFont="1" applyFill="1" applyBorder="1"/>
    <xf numFmtId="0" fontId="0" fillId="0" borderId="19" xfId="0" applyFill="1" applyBorder="1" applyAlignment="1">
      <alignment horizontal="left" vertical="center"/>
    </xf>
    <xf numFmtId="0" fontId="0" fillId="0" borderId="19" xfId="0" applyFill="1" applyBorder="1" applyAlignment="1">
      <alignment horizontal="center" vertical="center"/>
    </xf>
    <xf numFmtId="0" fontId="0" fillId="0" borderId="7" xfId="0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9" fillId="27" borderId="0" xfId="0" applyFont="1" applyFill="1" applyBorder="1"/>
    <xf numFmtId="0" fontId="12" fillId="0" borderId="0" xfId="0" applyFont="1" applyFill="1" applyBorder="1"/>
    <xf numFmtId="0" fontId="33" fillId="0" borderId="13" xfId="0" applyFont="1" applyFill="1" applyBorder="1"/>
    <xf numFmtId="0" fontId="0" fillId="22" borderId="19" xfId="0" applyFill="1" applyBorder="1" applyAlignment="1">
      <alignment horizontal="center" vertical="center"/>
    </xf>
    <xf numFmtId="0" fontId="0" fillId="22" borderId="19" xfId="0" applyFill="1" applyBorder="1" applyAlignment="1">
      <alignment horizontal="center" vertical="center" wrapText="1"/>
    </xf>
    <xf numFmtId="0" fontId="0" fillId="22" borderId="19" xfId="0" applyFill="1" applyBorder="1"/>
    <xf numFmtId="0" fontId="33" fillId="27" borderId="44" xfId="0" applyFont="1" applyFill="1" applyBorder="1"/>
    <xf numFmtId="0" fontId="34" fillId="10" borderId="0" xfId="0" applyFont="1" applyFill="1"/>
    <xf numFmtId="0" fontId="33" fillId="28" borderId="45" xfId="0" applyFont="1" applyFill="1" applyBorder="1"/>
    <xf numFmtId="0" fontId="33" fillId="28" borderId="17" xfId="0" applyFont="1" applyFill="1" applyBorder="1"/>
    <xf numFmtId="0" fontId="33" fillId="28" borderId="17" xfId="0" applyFont="1" applyFill="1" applyBorder="1" applyAlignment="1">
      <alignment horizontal="center"/>
    </xf>
    <xf numFmtId="0" fontId="33" fillId="28" borderId="46" xfId="0" applyFont="1" applyFill="1" applyBorder="1"/>
    <xf numFmtId="0" fontId="0" fillId="0" borderId="47" xfId="0" applyBorder="1"/>
    <xf numFmtId="14" fontId="0" fillId="0" borderId="48" xfId="0" applyNumberFormat="1" applyBorder="1" applyAlignment="1">
      <alignment horizontal="center" vertical="center"/>
    </xf>
    <xf numFmtId="0" fontId="0" fillId="0" borderId="48" xfId="0" applyBorder="1"/>
    <xf numFmtId="0" fontId="0" fillId="0" borderId="48" xfId="0" applyBorder="1" applyAlignment="1">
      <alignment horizontal="center"/>
    </xf>
    <xf numFmtId="0" fontId="0" fillId="28" borderId="48" xfId="0" applyFill="1" applyBorder="1"/>
    <xf numFmtId="0" fontId="0" fillId="0" borderId="19" xfId="0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0" fontId="0" fillId="27" borderId="48" xfId="0" applyFill="1" applyBorder="1"/>
    <xf numFmtId="0" fontId="0" fillId="28" borderId="49" xfId="0" applyFill="1" applyBorder="1"/>
    <xf numFmtId="0" fontId="0" fillId="0" borderId="49" xfId="0" applyBorder="1" applyAlignment="1">
      <alignment horizontal="center"/>
    </xf>
    <xf numFmtId="0" fontId="0" fillId="27" borderId="31" xfId="0" applyFill="1" applyBorder="1"/>
    <xf numFmtId="0" fontId="0" fillId="28" borderId="6" xfId="0" applyFill="1" applyBorder="1"/>
    <xf numFmtId="0" fontId="0" fillId="27" borderId="43" xfId="0" applyFill="1" applyBorder="1"/>
    <xf numFmtId="0" fontId="0" fillId="28" borderId="19" xfId="0" applyFill="1" applyBorder="1"/>
    <xf numFmtId="0" fontId="0" fillId="0" borderId="6" xfId="0" applyBorder="1"/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7" borderId="6" xfId="0" applyFill="1" applyBorder="1"/>
    <xf numFmtId="165" fontId="0" fillId="0" borderId="19" xfId="0" applyNumberFormat="1" applyFill="1" applyBorder="1" applyAlignment="1">
      <alignment horizontal="center"/>
    </xf>
    <xf numFmtId="0" fontId="0" fillId="0" borderId="19" xfId="0" applyBorder="1"/>
    <xf numFmtId="0" fontId="0" fillId="27" borderId="19" xfId="0" applyFill="1" applyBorder="1"/>
    <xf numFmtId="14" fontId="0" fillId="0" borderId="19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164" fontId="0" fillId="0" borderId="19" xfId="0" applyNumberFormat="1" applyFill="1" applyBorder="1" applyAlignment="1">
      <alignment horizontal="center" vertical="center"/>
    </xf>
    <xf numFmtId="164" fontId="0" fillId="0" borderId="3" xfId="0" applyNumberFormat="1" applyFill="1" applyBorder="1" applyAlignment="1">
      <alignment horizontal="center" vertical="center"/>
    </xf>
    <xf numFmtId="0" fontId="0" fillId="10" borderId="19" xfId="0" applyFill="1" applyBorder="1"/>
    <xf numFmtId="165" fontId="0" fillId="10" borderId="19" xfId="0" applyNumberFormat="1" applyFill="1" applyBorder="1" applyAlignment="1">
      <alignment horizontal="center"/>
    </xf>
    <xf numFmtId="0" fontId="0" fillId="27" borderId="0" xfId="0" applyFill="1" applyAlignment="1">
      <alignment horizontal="center"/>
    </xf>
    <xf numFmtId="14" fontId="0" fillId="0" borderId="19" xfId="0" applyNumberFormat="1" applyBorder="1" applyAlignment="1">
      <alignment horizontal="center" vertical="center"/>
    </xf>
    <xf numFmtId="165" fontId="0" fillId="0" borderId="19" xfId="0" applyNumberFormat="1" applyBorder="1" applyAlignment="1">
      <alignment horizontal="center" vertical="center"/>
    </xf>
    <xf numFmtId="165" fontId="0" fillId="0" borderId="19" xfId="0" applyNumberFormat="1" applyBorder="1" applyAlignment="1">
      <alignment horizontal="center"/>
    </xf>
    <xf numFmtId="0" fontId="0" fillId="0" borderId="50" xfId="0" applyBorder="1"/>
    <xf numFmtId="0" fontId="0" fillId="0" borderId="51" xfId="0" applyBorder="1"/>
    <xf numFmtId="14" fontId="0" fillId="0" borderId="52" xfId="0" applyNumberFormat="1" applyBorder="1" applyAlignment="1">
      <alignment horizontal="center" vertical="center"/>
    </xf>
    <xf numFmtId="0" fontId="0" fillId="0" borderId="52" xfId="0" applyBorder="1"/>
    <xf numFmtId="0" fontId="0" fillId="0" borderId="52" xfId="0" applyBorder="1" applyAlignment="1">
      <alignment horizontal="center"/>
    </xf>
    <xf numFmtId="0" fontId="36" fillId="0" borderId="0" xfId="0" applyFont="1" applyFill="1"/>
    <xf numFmtId="0" fontId="37" fillId="27" borderId="0" xfId="0" applyFont="1" applyFill="1"/>
    <xf numFmtId="0" fontId="38" fillId="27" borderId="0" xfId="0" applyFont="1" applyFill="1"/>
    <xf numFmtId="165" fontId="23" fillId="10" borderId="0" xfId="0" applyNumberFormat="1" applyFont="1" applyFill="1" applyBorder="1" applyAlignment="1">
      <alignment horizontal="center"/>
    </xf>
    <xf numFmtId="14" fontId="39" fillId="0" borderId="0" xfId="0" applyNumberFormat="1" applyFont="1" applyFill="1" applyBorder="1" applyAlignment="1">
      <alignment horizontal="center"/>
    </xf>
    <xf numFmtId="165" fontId="10" fillId="3" borderId="4" xfId="0" applyNumberFormat="1" applyFont="1" applyFill="1" applyBorder="1" applyAlignment="1" applyProtection="1">
      <alignment horizontal="center"/>
      <protection locked="0"/>
    </xf>
    <xf numFmtId="0" fontId="21" fillId="0" borderId="4" xfId="0" applyFont="1" applyFill="1" applyBorder="1" applyAlignment="1">
      <alignment horizontal="center"/>
    </xf>
    <xf numFmtId="14" fontId="21" fillId="0" borderId="4" xfId="0" applyNumberFormat="1" applyFont="1" applyFill="1" applyBorder="1" applyAlignment="1">
      <alignment horizontal="center"/>
    </xf>
    <xf numFmtId="14" fontId="21" fillId="0" borderId="4" xfId="0" applyNumberFormat="1" applyFont="1" applyFill="1" applyBorder="1" applyAlignment="1">
      <alignment horizontal="left"/>
    </xf>
    <xf numFmtId="2" fontId="21" fillId="0" borderId="4" xfId="0" applyNumberFormat="1" applyFont="1" applyFill="1" applyBorder="1" applyAlignment="1">
      <alignment horizontal="center"/>
    </xf>
    <xf numFmtId="165" fontId="21" fillId="0" borderId="4" xfId="0" applyNumberFormat="1" applyFont="1" applyFill="1" applyBorder="1" applyAlignment="1">
      <alignment horizontal="center"/>
    </xf>
    <xf numFmtId="165" fontId="23" fillId="0" borderId="5" xfId="0" applyNumberFormat="1" applyFont="1" applyFill="1" applyBorder="1" applyAlignment="1">
      <alignment horizontal="center" vertical="center"/>
    </xf>
    <xf numFmtId="165" fontId="23" fillId="0" borderId="4" xfId="0" applyNumberFormat="1" applyFont="1" applyFill="1" applyBorder="1" applyAlignment="1">
      <alignment horizontal="center" vertical="center"/>
    </xf>
    <xf numFmtId="2" fontId="21" fillId="0" borderId="5" xfId="0" applyNumberFormat="1" applyFont="1" applyFill="1" applyBorder="1" applyAlignment="1">
      <alignment horizontal="center"/>
    </xf>
    <xf numFmtId="2" fontId="18" fillId="0" borderId="4" xfId="0" applyNumberFormat="1" applyFont="1" applyFill="1" applyBorder="1" applyAlignment="1">
      <alignment horizontal="center"/>
    </xf>
    <xf numFmtId="2" fontId="22" fillId="0" borderId="4" xfId="0" applyNumberFormat="1" applyFont="1" applyFill="1" applyBorder="1" applyAlignment="1">
      <alignment horizontal="center"/>
    </xf>
    <xf numFmtId="165" fontId="21" fillId="0" borderId="5" xfId="0" applyNumberFormat="1" applyFont="1" applyFill="1" applyBorder="1" applyAlignment="1">
      <alignment horizontal="center"/>
    </xf>
    <xf numFmtId="0" fontId="21" fillId="0" borderId="36" xfId="0" applyFont="1" applyFill="1" applyBorder="1" applyAlignment="1">
      <alignment horizontal="center"/>
    </xf>
    <xf numFmtId="14" fontId="21" fillId="0" borderId="36" xfId="0" applyNumberFormat="1" applyFont="1" applyFill="1" applyBorder="1" applyAlignment="1">
      <alignment horizontal="center"/>
    </xf>
    <xf numFmtId="14" fontId="21" fillId="0" borderId="36" xfId="0" applyNumberFormat="1" applyFont="1" applyFill="1" applyBorder="1" applyAlignment="1">
      <alignment horizontal="left"/>
    </xf>
    <xf numFmtId="2" fontId="21" fillId="0" borderId="36" xfId="0" applyNumberFormat="1" applyFont="1" applyFill="1" applyBorder="1" applyAlignment="1">
      <alignment horizontal="center"/>
    </xf>
    <xf numFmtId="165" fontId="21" fillId="0" borderId="36" xfId="0" applyNumberFormat="1" applyFont="1" applyFill="1" applyBorder="1" applyAlignment="1">
      <alignment horizontal="center"/>
    </xf>
    <xf numFmtId="165" fontId="23" fillId="3" borderId="7" xfId="0" applyNumberFormat="1" applyFont="1" applyFill="1" applyBorder="1" applyAlignment="1">
      <alignment horizontal="center"/>
    </xf>
    <xf numFmtId="165" fontId="23" fillId="3" borderId="36" xfId="0" applyNumberFormat="1" applyFont="1" applyFill="1" applyBorder="1" applyAlignment="1">
      <alignment horizontal="center"/>
    </xf>
    <xf numFmtId="165" fontId="23" fillId="10" borderId="36" xfId="0" applyNumberFormat="1" applyFont="1" applyFill="1" applyBorder="1" applyAlignment="1">
      <alignment horizontal="center"/>
    </xf>
    <xf numFmtId="2" fontId="21" fillId="0" borderId="7" xfId="0" applyNumberFormat="1" applyFont="1" applyFill="1" applyBorder="1" applyAlignment="1">
      <alignment horizontal="center"/>
    </xf>
    <xf numFmtId="2" fontId="18" fillId="0" borderId="36" xfId="0" applyNumberFormat="1" applyFont="1" applyFill="1" applyBorder="1" applyAlignment="1">
      <alignment horizontal="center"/>
    </xf>
    <xf numFmtId="2" fontId="22" fillId="0" borderId="36" xfId="0" applyNumberFormat="1" applyFont="1" applyFill="1" applyBorder="1" applyAlignment="1">
      <alignment horizontal="center"/>
    </xf>
    <xf numFmtId="0" fontId="9" fillId="0" borderId="36" xfId="0" applyFont="1" applyFill="1" applyBorder="1" applyAlignment="1">
      <alignment horizontal="center"/>
    </xf>
    <xf numFmtId="165" fontId="23" fillId="0" borderId="5" xfId="0" applyNumberFormat="1" applyFont="1" applyBorder="1" applyAlignment="1">
      <alignment horizontal="center"/>
    </xf>
    <xf numFmtId="165" fontId="23" fillId="0" borderId="4" xfId="0" applyNumberFormat="1" applyFont="1" applyBorder="1" applyAlignment="1">
      <alignment horizontal="center"/>
    </xf>
    <xf numFmtId="2" fontId="21" fillId="0" borderId="4" xfId="0" applyNumberFormat="1" applyFont="1" applyFill="1" applyBorder="1" applyAlignment="1">
      <alignment horizontal="center" wrapText="1"/>
    </xf>
    <xf numFmtId="165" fontId="10" fillId="4" borderId="5" xfId="0" applyNumberFormat="1" applyFont="1" applyFill="1" applyBorder="1" applyAlignment="1" applyProtection="1">
      <alignment horizontal="center"/>
      <protection locked="0"/>
    </xf>
    <xf numFmtId="2" fontId="21" fillId="0" borderId="5" xfId="0" applyNumberFormat="1" applyFont="1" applyFill="1" applyBorder="1" applyAlignment="1">
      <alignment horizontal="center" vertical="center" wrapText="1"/>
    </xf>
    <xf numFmtId="2" fontId="21" fillId="0" borderId="4" xfId="0" applyNumberFormat="1" applyFont="1" applyFill="1" applyBorder="1" applyAlignment="1">
      <alignment horizontal="center" vertical="center" wrapText="1"/>
    </xf>
    <xf numFmtId="2" fontId="18" fillId="0" borderId="4" xfId="0" applyNumberFormat="1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 vertical="center" wrapText="1"/>
    </xf>
    <xf numFmtId="0" fontId="8" fillId="5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center"/>
    </xf>
    <xf numFmtId="17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 applyAlignment="1">
      <alignment horizontal="right"/>
    </xf>
    <xf numFmtId="164" fontId="0" fillId="0" borderId="0" xfId="0" applyNumberFormat="1" applyFont="1" applyFill="1" applyBorder="1"/>
    <xf numFmtId="165" fontId="0" fillId="0" borderId="0" xfId="0" applyNumberFormat="1" applyFont="1" applyFill="1" applyBorder="1" applyAlignment="1">
      <alignment horizontal="center"/>
    </xf>
    <xf numFmtId="2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Alignment="1">
      <alignment horizontal="left"/>
    </xf>
    <xf numFmtId="165" fontId="8" fillId="11" borderId="0" xfId="0" applyNumberFormat="1" applyFont="1" applyFill="1" applyBorder="1" applyAlignment="1">
      <alignment horizontal="center"/>
    </xf>
    <xf numFmtId="165" fontId="8" fillId="5" borderId="0" xfId="0" applyNumberFormat="1" applyFont="1" applyFill="1" applyBorder="1" applyAlignment="1">
      <alignment horizontal="center"/>
    </xf>
    <xf numFmtId="165" fontId="8" fillId="6" borderId="0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0" fillId="3" borderId="15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165" fontId="10" fillId="4" borderId="0" xfId="0" applyNumberFormat="1" applyFont="1" applyFill="1" applyBorder="1" applyAlignment="1" applyProtection="1">
      <alignment horizontal="center"/>
      <protection locked="0"/>
    </xf>
    <xf numFmtId="2" fontId="9" fillId="2" borderId="0" xfId="0" applyNumberFormat="1" applyFont="1" applyFill="1" applyBorder="1" applyAlignment="1">
      <alignment horizontal="center"/>
    </xf>
    <xf numFmtId="0" fontId="39" fillId="0" borderId="0" xfId="0" applyFont="1" applyFill="1" applyBorder="1" applyAlignment="1">
      <alignment horizontal="center"/>
    </xf>
    <xf numFmtId="164" fontId="39" fillId="0" borderId="0" xfId="0" applyNumberFormat="1" applyFont="1" applyFill="1" applyBorder="1" applyAlignment="1">
      <alignment horizontal="center"/>
    </xf>
    <xf numFmtId="2" fontId="39" fillId="0" borderId="0" xfId="0" applyNumberFormat="1" applyFont="1" applyFill="1" applyBorder="1" applyAlignment="1">
      <alignment horizontal="center"/>
    </xf>
    <xf numFmtId="165" fontId="39" fillId="0" borderId="0" xfId="0" applyNumberFormat="1" applyFont="1" applyFill="1" applyBorder="1" applyAlignment="1">
      <alignment horizontal="center"/>
    </xf>
    <xf numFmtId="2" fontId="39" fillId="8" borderId="0" xfId="0" applyNumberFormat="1" applyFont="1" applyFill="1" applyBorder="1" applyAlignment="1" applyProtection="1">
      <alignment horizontal="center"/>
      <protection locked="0"/>
    </xf>
    <xf numFmtId="2" fontId="39" fillId="3" borderId="0" xfId="0" applyNumberFormat="1" applyFont="1" applyFill="1" applyBorder="1" applyAlignment="1" applyProtection="1">
      <alignment horizontal="center"/>
      <protection locked="0"/>
    </xf>
    <xf numFmtId="0" fontId="9" fillId="0" borderId="0" xfId="0" applyFont="1" applyAlignment="1">
      <alignment horizontal="center"/>
    </xf>
    <xf numFmtId="14" fontId="9" fillId="0" borderId="0" xfId="0" applyNumberFormat="1" applyFont="1" applyAlignment="1">
      <alignment horizontal="center"/>
    </xf>
    <xf numFmtId="0" fontId="0" fillId="0" borderId="0" xfId="0" applyNumberFormat="1"/>
    <xf numFmtId="0" fontId="0" fillId="18" borderId="27" xfId="0" applyFill="1" applyBorder="1" applyAlignment="1">
      <alignment horizontal="center"/>
    </xf>
    <xf numFmtId="0" fontId="0" fillId="18" borderId="28" xfId="0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0" fontId="2" fillId="22" borderId="19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35" fillId="0" borderId="19" xfId="0" applyFont="1" applyFill="1" applyBorder="1" applyAlignment="1">
      <alignment horizontal="center"/>
    </xf>
    <xf numFmtId="0" fontId="0" fillId="0" borderId="9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</cellXfs>
  <cellStyles count="2">
    <cellStyle name="Normal" xfId="0" builtinId="0"/>
    <cellStyle name="Normal_Feuil2" xfId="1" xr:uid="{00000000-0005-0000-0000-000001000000}"/>
  </cellStyles>
  <dxfs count="49">
    <dxf>
      <font>
        <color rgb="FFFF0000"/>
      </font>
    </dxf>
    <dxf>
      <font>
        <color rgb="FF9C0006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color theme="0" tint="-0.24994659260841701"/>
      </font>
      <fill>
        <patternFill patternType="none">
          <bgColor auto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 tint="-0.499984740745262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5"/>
  <sheetViews>
    <sheetView topLeftCell="A57" zoomScale="80" zoomScaleNormal="80" workbookViewId="0">
      <selection activeCell="B87" sqref="B87"/>
    </sheetView>
  </sheetViews>
  <sheetFormatPr baseColWidth="10" defaultRowHeight="14.4" x14ac:dyDescent="0.3"/>
  <cols>
    <col min="1" max="1" width="19.88671875" customWidth="1"/>
    <col min="2" max="2" width="22" style="35" customWidth="1"/>
    <col min="3" max="3" width="14" customWidth="1"/>
    <col min="4" max="4" width="22.33203125" customWidth="1"/>
    <col min="5" max="5" width="15.109375" style="35" customWidth="1"/>
    <col min="6" max="6" width="16.33203125" customWidth="1"/>
    <col min="7" max="7" width="19.33203125" bestFit="1" customWidth="1"/>
  </cols>
  <sheetData>
    <row r="1" spans="1:2" ht="15" thickBot="1" x14ac:dyDescent="0.35"/>
    <row r="2" spans="1:2" x14ac:dyDescent="0.3">
      <c r="A2" s="212" t="s">
        <v>419</v>
      </c>
      <c r="B2" s="213" t="s">
        <v>420</v>
      </c>
    </row>
    <row r="3" spans="1:2" ht="15" thickBot="1" x14ac:dyDescent="0.35">
      <c r="A3" s="214">
        <v>0</v>
      </c>
      <c r="B3" s="215" t="s">
        <v>421</v>
      </c>
    </row>
    <row r="4" spans="1:2" x14ac:dyDescent="0.3">
      <c r="A4" s="100"/>
    </row>
    <row r="5" spans="1:2" ht="18" x14ac:dyDescent="0.35">
      <c r="A5" s="99" t="s">
        <v>1701</v>
      </c>
    </row>
    <row r="6" spans="1:2" x14ac:dyDescent="0.3">
      <c r="A6" s="525" t="s">
        <v>427</v>
      </c>
    </row>
    <row r="7" spans="1:2" x14ac:dyDescent="0.3">
      <c r="A7" s="138" t="s">
        <v>428</v>
      </c>
    </row>
    <row r="8" spans="1:2" x14ac:dyDescent="0.3">
      <c r="A8" s="138" t="s">
        <v>136</v>
      </c>
    </row>
    <row r="9" spans="1:2" x14ac:dyDescent="0.3">
      <c r="A9" s="138" t="s">
        <v>164</v>
      </c>
    </row>
    <row r="10" spans="1:2" x14ac:dyDescent="0.3">
      <c r="A10" s="138" t="s">
        <v>1587</v>
      </c>
    </row>
    <row r="11" spans="1:2" x14ac:dyDescent="0.3">
      <c r="A11" s="138" t="s">
        <v>137</v>
      </c>
    </row>
    <row r="12" spans="1:2" x14ac:dyDescent="0.3">
      <c r="A12" s="138" t="s">
        <v>138</v>
      </c>
    </row>
    <row r="13" spans="1:2" x14ac:dyDescent="0.3">
      <c r="A13" s="138" t="s">
        <v>250</v>
      </c>
    </row>
    <row r="15" spans="1:2" ht="18" x14ac:dyDescent="0.35">
      <c r="A15" s="99" t="s">
        <v>437</v>
      </c>
      <c r="B15" s="134" t="s">
        <v>438</v>
      </c>
    </row>
    <row r="17" spans="2:2" x14ac:dyDescent="0.3">
      <c r="B17" s="64" t="s">
        <v>187</v>
      </c>
    </row>
    <row r="18" spans="2:2" x14ac:dyDescent="0.3">
      <c r="B18" s="64" t="s">
        <v>188</v>
      </c>
    </row>
    <row r="19" spans="2:2" x14ac:dyDescent="0.3">
      <c r="B19" s="140" t="s">
        <v>0</v>
      </c>
    </row>
    <row r="20" spans="2:2" x14ac:dyDescent="0.3">
      <c r="B20" s="140" t="s">
        <v>1</v>
      </c>
    </row>
    <row r="21" spans="2:2" x14ac:dyDescent="0.3">
      <c r="B21" s="140" t="s">
        <v>1523</v>
      </c>
    </row>
    <row r="22" spans="2:2" x14ac:dyDescent="0.3">
      <c r="B22" s="140" t="s">
        <v>191</v>
      </c>
    </row>
    <row r="23" spans="2:2" x14ac:dyDescent="0.3">
      <c r="B23" s="140" t="s">
        <v>461</v>
      </c>
    </row>
    <row r="24" spans="2:2" x14ac:dyDescent="0.3">
      <c r="B24" s="140" t="s">
        <v>460</v>
      </c>
    </row>
    <row r="25" spans="2:2" x14ac:dyDescent="0.3">
      <c r="B25" s="140" t="s">
        <v>1695</v>
      </c>
    </row>
    <row r="26" spans="2:2" x14ac:dyDescent="0.3">
      <c r="B26" s="140" t="s">
        <v>1696</v>
      </c>
    </row>
    <row r="27" spans="2:2" x14ac:dyDescent="0.3">
      <c r="B27" s="140" t="s">
        <v>139</v>
      </c>
    </row>
    <row r="28" spans="2:2" x14ac:dyDescent="0.3">
      <c r="B28" s="7" t="s">
        <v>140</v>
      </c>
    </row>
    <row r="29" spans="2:2" x14ac:dyDescent="0.3">
      <c r="B29" s="7" t="s">
        <v>1680</v>
      </c>
    </row>
    <row r="30" spans="2:2" x14ac:dyDescent="0.3">
      <c r="B30" s="7" t="s">
        <v>1681</v>
      </c>
    </row>
    <row r="31" spans="2:2" x14ac:dyDescent="0.3">
      <c r="B31" s="7" t="s">
        <v>141</v>
      </c>
    </row>
    <row r="32" spans="2:2" x14ac:dyDescent="0.3">
      <c r="B32" s="7" t="s">
        <v>142</v>
      </c>
    </row>
    <row r="33" spans="1:6" x14ac:dyDescent="0.3">
      <c r="B33" s="7" t="s">
        <v>1682</v>
      </c>
    </row>
    <row r="34" spans="1:6" x14ac:dyDescent="0.3">
      <c r="A34" s="1"/>
      <c r="B34" s="7" t="s">
        <v>1683</v>
      </c>
      <c r="C34" s="43"/>
      <c r="E34" s="43"/>
    </row>
    <row r="35" spans="1:6" x14ac:dyDescent="0.3">
      <c r="A35" s="1"/>
      <c r="B35" s="140" t="s">
        <v>1684</v>
      </c>
      <c r="C35" s="43"/>
      <c r="E35" s="43"/>
    </row>
    <row r="36" spans="1:6" x14ac:dyDescent="0.3">
      <c r="A36" s="1"/>
      <c r="B36" s="140" t="s">
        <v>1685</v>
      </c>
      <c r="C36" s="43"/>
      <c r="E36" s="43"/>
    </row>
    <row r="37" spans="1:6" x14ac:dyDescent="0.3">
      <c r="A37" s="43"/>
      <c r="B37" s="140" t="s">
        <v>1686</v>
      </c>
      <c r="C37" s="43"/>
    </row>
    <row r="38" spans="1:6" x14ac:dyDescent="0.3">
      <c r="B38" s="140" t="s">
        <v>1687</v>
      </c>
    </row>
    <row r="39" spans="1:6" x14ac:dyDescent="0.3">
      <c r="B39" s="140" t="s">
        <v>1688</v>
      </c>
    </row>
    <row r="40" spans="1:6" x14ac:dyDescent="0.3">
      <c r="B40" s="140" t="s">
        <v>1689</v>
      </c>
      <c r="D40" s="7"/>
    </row>
    <row r="41" spans="1:6" x14ac:dyDescent="0.3">
      <c r="B41" s="7" t="s">
        <v>1690</v>
      </c>
      <c r="D41" s="7"/>
    </row>
    <row r="42" spans="1:6" x14ac:dyDescent="0.3">
      <c r="B42" s="7" t="s">
        <v>1691</v>
      </c>
      <c r="D42" s="7"/>
    </row>
    <row r="43" spans="1:6" x14ac:dyDescent="0.3">
      <c r="B43" s="7" t="s">
        <v>1692</v>
      </c>
      <c r="D43" s="7"/>
    </row>
    <row r="44" spans="1:6" x14ac:dyDescent="0.3">
      <c r="B44" s="7" t="s">
        <v>1693</v>
      </c>
      <c r="D44" s="7"/>
    </row>
    <row r="45" spans="1:6" x14ac:dyDescent="0.3">
      <c r="B45" s="7" t="s">
        <v>1694</v>
      </c>
      <c r="D45" s="7"/>
    </row>
    <row r="46" spans="1:6" x14ac:dyDescent="0.3">
      <c r="B46" s="522" t="s">
        <v>134</v>
      </c>
      <c r="C46" t="s">
        <v>439</v>
      </c>
      <c r="D46" s="138" t="s">
        <v>423</v>
      </c>
    </row>
    <row r="47" spans="1:6" x14ac:dyDescent="0.3">
      <c r="B47" s="523" t="s">
        <v>133</v>
      </c>
      <c r="C47" t="s">
        <v>415</v>
      </c>
      <c r="D47" s="138" t="s">
        <v>440</v>
      </c>
    </row>
    <row r="48" spans="1:6" x14ac:dyDescent="0.3">
      <c r="B48" s="524" t="s">
        <v>135</v>
      </c>
      <c r="C48" t="s">
        <v>416</v>
      </c>
      <c r="D48" s="521" t="s">
        <v>1700</v>
      </c>
      <c r="E48" s="12"/>
      <c r="F48" s="12"/>
    </row>
    <row r="49" spans="1:7" x14ac:dyDescent="0.3">
      <c r="D49" s="7"/>
    </row>
    <row r="50" spans="1:7" x14ac:dyDescent="0.3">
      <c r="D50" s="7"/>
    </row>
    <row r="51" spans="1:7" x14ac:dyDescent="0.3">
      <c r="D51" s="7"/>
    </row>
    <row r="52" spans="1:7" ht="18" x14ac:dyDescent="0.35">
      <c r="A52" s="99" t="s">
        <v>413</v>
      </c>
      <c r="B52" s="134" t="s">
        <v>417</v>
      </c>
    </row>
    <row r="54" spans="1:7" x14ac:dyDescent="0.3">
      <c r="B54" s="141" t="s">
        <v>187</v>
      </c>
    </row>
    <row r="55" spans="1:7" x14ac:dyDescent="0.3">
      <c r="B55" s="142" t="s">
        <v>188</v>
      </c>
    </row>
    <row r="56" spans="1:7" x14ac:dyDescent="0.3">
      <c r="B56" s="142" t="s">
        <v>189</v>
      </c>
    </row>
    <row r="57" spans="1:7" x14ac:dyDescent="0.3">
      <c r="B57" s="142" t="s">
        <v>0</v>
      </c>
    </row>
    <row r="58" spans="1:7" x14ac:dyDescent="0.3">
      <c r="B58" s="142" t="s">
        <v>1523</v>
      </c>
    </row>
    <row r="59" spans="1:7" x14ac:dyDescent="0.3">
      <c r="B59" s="142" t="s">
        <v>190</v>
      </c>
    </row>
    <row r="60" spans="1:7" x14ac:dyDescent="0.3">
      <c r="B60" s="142" t="s">
        <v>191</v>
      </c>
    </row>
    <row r="61" spans="1:7" x14ac:dyDescent="0.3">
      <c r="B61" s="197" t="s">
        <v>1706</v>
      </c>
    </row>
    <row r="62" spans="1:7" x14ac:dyDescent="0.3">
      <c r="B62" s="20" t="s">
        <v>1634</v>
      </c>
    </row>
    <row r="63" spans="1:7" x14ac:dyDescent="0.3">
      <c r="B63" s="20" t="s">
        <v>1707</v>
      </c>
      <c r="C63" t="s">
        <v>1709</v>
      </c>
      <c r="G63" t="s">
        <v>186</v>
      </c>
    </row>
    <row r="64" spans="1:7" x14ac:dyDescent="0.3">
      <c r="B64" s="20" t="s">
        <v>1708</v>
      </c>
      <c r="C64" t="s">
        <v>1710</v>
      </c>
      <c r="G64" t="s">
        <v>186</v>
      </c>
    </row>
    <row r="65" spans="1:13" x14ac:dyDescent="0.3">
      <c r="B65" s="144" t="s">
        <v>134</v>
      </c>
      <c r="C65" t="s">
        <v>414</v>
      </c>
      <c r="D65" s="36" t="s">
        <v>418</v>
      </c>
      <c r="G65" s="138" t="s">
        <v>423</v>
      </c>
    </row>
    <row r="66" spans="1:13" x14ac:dyDescent="0.3">
      <c r="B66" s="145" t="s">
        <v>133</v>
      </c>
      <c r="C66" t="s">
        <v>415</v>
      </c>
      <c r="D66" s="36" t="s">
        <v>418</v>
      </c>
      <c r="G66" s="138" t="s">
        <v>422</v>
      </c>
    </row>
    <row r="67" spans="1:13" x14ac:dyDescent="0.3">
      <c r="B67" s="146" t="s">
        <v>135</v>
      </c>
      <c r="C67" t="s">
        <v>416</v>
      </c>
      <c r="D67" s="35" t="s">
        <v>424</v>
      </c>
      <c r="E67" s="101" t="s">
        <v>425</v>
      </c>
      <c r="F67" s="102" t="s">
        <v>426</v>
      </c>
      <c r="G67" s="138" t="s">
        <v>441</v>
      </c>
    </row>
    <row r="70" spans="1:13" ht="18" x14ac:dyDescent="0.35">
      <c r="A70" s="99" t="s">
        <v>429</v>
      </c>
      <c r="B70" s="134" t="s">
        <v>432</v>
      </c>
    </row>
    <row r="71" spans="1:13" ht="15.6" x14ac:dyDescent="0.3">
      <c r="M71" s="70"/>
    </row>
    <row r="72" spans="1:13" ht="15.6" x14ac:dyDescent="0.3">
      <c r="B72" s="198" t="s">
        <v>187</v>
      </c>
      <c r="M72" s="70"/>
    </row>
    <row r="73" spans="1:13" ht="15.6" x14ac:dyDescent="0.3">
      <c r="B73" s="199" t="s">
        <v>188</v>
      </c>
      <c r="M73" s="70"/>
    </row>
    <row r="74" spans="1:13" ht="15.6" x14ac:dyDescent="0.3">
      <c r="B74" s="199" t="s">
        <v>1695</v>
      </c>
      <c r="M74" s="70"/>
    </row>
    <row r="75" spans="1:13" ht="15.6" x14ac:dyDescent="0.3">
      <c r="B75" s="199" t="s">
        <v>0</v>
      </c>
      <c r="M75" s="70"/>
    </row>
    <row r="76" spans="1:13" ht="15.6" x14ac:dyDescent="0.3">
      <c r="B76" s="199" t="s">
        <v>190</v>
      </c>
      <c r="M76" s="70"/>
    </row>
    <row r="77" spans="1:13" ht="15.6" x14ac:dyDescent="0.3">
      <c r="B77" s="199" t="s">
        <v>1713</v>
      </c>
      <c r="M77" s="70"/>
    </row>
    <row r="78" spans="1:13" ht="15.6" x14ac:dyDescent="0.3">
      <c r="B78" s="199" t="s">
        <v>198</v>
      </c>
      <c r="M78" s="70"/>
    </row>
    <row r="79" spans="1:13" ht="15.6" x14ac:dyDescent="0.3">
      <c r="B79" s="199" t="s">
        <v>191</v>
      </c>
      <c r="M79" s="70"/>
    </row>
    <row r="80" spans="1:13" ht="15.6" x14ac:dyDescent="0.3">
      <c r="B80" s="199" t="s">
        <v>1714</v>
      </c>
      <c r="M80" s="70"/>
    </row>
    <row r="81" spans="2:13" ht="15.6" x14ac:dyDescent="0.3">
      <c r="B81" s="200" t="s">
        <v>193</v>
      </c>
      <c r="M81" s="70"/>
    </row>
    <row r="82" spans="2:13" ht="15.6" x14ac:dyDescent="0.3">
      <c r="B82" s="201" t="s">
        <v>209</v>
      </c>
      <c r="M82" s="70"/>
    </row>
    <row r="83" spans="2:13" ht="15.6" x14ac:dyDescent="0.3">
      <c r="B83" s="200" t="s">
        <v>194</v>
      </c>
      <c r="M83" s="70"/>
    </row>
    <row r="84" spans="2:13" ht="15.6" x14ac:dyDescent="0.3">
      <c r="B84" s="202" t="s">
        <v>245</v>
      </c>
      <c r="M84" s="70"/>
    </row>
    <row r="85" spans="2:13" ht="15.6" x14ac:dyDescent="0.3">
      <c r="B85" s="202" t="s">
        <v>244</v>
      </c>
      <c r="M85" s="70"/>
    </row>
    <row r="86" spans="2:13" ht="15.6" x14ac:dyDescent="0.3">
      <c r="B86" s="199" t="s">
        <v>1715</v>
      </c>
      <c r="M86" s="70"/>
    </row>
    <row r="87" spans="2:13" ht="15.6" x14ac:dyDescent="0.3">
      <c r="B87" s="199" t="s">
        <v>1716</v>
      </c>
      <c r="M87" s="70"/>
    </row>
    <row r="88" spans="2:13" ht="15.6" x14ac:dyDescent="0.3">
      <c r="B88" s="201" t="s">
        <v>411</v>
      </c>
      <c r="M88" s="70"/>
    </row>
    <row r="89" spans="2:13" ht="15.6" x14ac:dyDescent="0.3">
      <c r="B89" s="201" t="s">
        <v>412</v>
      </c>
      <c r="M89" s="70"/>
    </row>
    <row r="90" spans="2:13" ht="15.6" x14ac:dyDescent="0.3">
      <c r="B90" s="199" t="s">
        <v>192</v>
      </c>
      <c r="M90" s="70"/>
    </row>
    <row r="91" spans="2:13" ht="15.6" x14ac:dyDescent="0.3">
      <c r="B91" s="199" t="s">
        <v>211</v>
      </c>
      <c r="M91" s="70"/>
    </row>
    <row r="92" spans="2:13" ht="15.6" x14ac:dyDescent="0.3">
      <c r="B92" s="199" t="s">
        <v>184</v>
      </c>
      <c r="G92" t="s">
        <v>186</v>
      </c>
      <c r="M92" s="70"/>
    </row>
    <row r="93" spans="2:13" ht="15.6" x14ac:dyDescent="0.3">
      <c r="B93" s="199" t="s">
        <v>185</v>
      </c>
      <c r="G93" t="s">
        <v>186</v>
      </c>
      <c r="M93" s="70"/>
    </row>
    <row r="94" spans="2:13" ht="15.6" x14ac:dyDescent="0.3">
      <c r="B94" s="144" t="s">
        <v>134</v>
      </c>
      <c r="C94" t="s">
        <v>414</v>
      </c>
      <c r="D94" s="36" t="s">
        <v>418</v>
      </c>
      <c r="G94" s="138" t="s">
        <v>423</v>
      </c>
      <c r="M94" s="70"/>
    </row>
    <row r="95" spans="2:13" ht="15.6" x14ac:dyDescent="0.3">
      <c r="B95" s="145" t="s">
        <v>133</v>
      </c>
      <c r="C95" t="s">
        <v>415</v>
      </c>
      <c r="D95" s="36" t="s">
        <v>418</v>
      </c>
      <c r="G95" s="138" t="s">
        <v>422</v>
      </c>
      <c r="M95" s="70"/>
    </row>
    <row r="96" spans="2:13" ht="15.6" x14ac:dyDescent="0.3">
      <c r="B96" s="146" t="s">
        <v>135</v>
      </c>
      <c r="C96" t="s">
        <v>416</v>
      </c>
      <c r="D96" s="35" t="s">
        <v>424</v>
      </c>
      <c r="E96" s="101" t="s">
        <v>425</v>
      </c>
      <c r="F96" s="102" t="s">
        <v>426</v>
      </c>
      <c r="G96" s="138" t="s">
        <v>422</v>
      </c>
      <c r="M96" s="70"/>
    </row>
    <row r="97" spans="2:13" ht="16.2" thickBot="1" x14ac:dyDescent="0.35">
      <c r="M97" s="70"/>
    </row>
    <row r="98" spans="2:13" ht="15.6" x14ac:dyDescent="0.3">
      <c r="B98" s="192" t="s">
        <v>198</v>
      </c>
      <c r="C98" s="193" t="s">
        <v>199</v>
      </c>
      <c r="D98" s="185" t="s">
        <v>215</v>
      </c>
      <c r="E98" s="185"/>
      <c r="F98" s="184"/>
      <c r="G98" s="185"/>
      <c r="H98" s="186"/>
    </row>
    <row r="99" spans="2:13" x14ac:dyDescent="0.3">
      <c r="B99" s="54"/>
      <c r="C99" s="194" t="s">
        <v>216</v>
      </c>
      <c r="D99" s="37" t="s">
        <v>217</v>
      </c>
      <c r="E99" s="37"/>
      <c r="F99" s="32"/>
      <c r="G99" s="37"/>
      <c r="H99" s="187"/>
    </row>
    <row r="100" spans="2:13" x14ac:dyDescent="0.3">
      <c r="B100" s="54"/>
      <c r="C100" s="194" t="s">
        <v>218</v>
      </c>
      <c r="D100" s="37" t="s">
        <v>219</v>
      </c>
      <c r="E100" s="37"/>
      <c r="F100" s="32"/>
      <c r="G100" s="37"/>
      <c r="H100" s="187"/>
    </row>
    <row r="101" spans="2:13" x14ac:dyDescent="0.3">
      <c r="B101" s="54"/>
      <c r="C101" s="194" t="s">
        <v>214</v>
      </c>
      <c r="D101" s="37" t="s">
        <v>220</v>
      </c>
      <c r="E101" s="37"/>
      <c r="F101" s="32"/>
      <c r="G101" s="37"/>
      <c r="H101" s="187"/>
    </row>
    <row r="102" spans="2:13" x14ac:dyDescent="0.3">
      <c r="B102" s="54"/>
      <c r="C102" s="32"/>
      <c r="D102" s="37"/>
      <c r="E102" s="37"/>
      <c r="F102" s="32"/>
      <c r="G102" s="37"/>
      <c r="H102" s="187"/>
    </row>
    <row r="103" spans="2:13" ht="18" x14ac:dyDescent="0.35">
      <c r="B103" s="54"/>
      <c r="C103" s="32"/>
      <c r="D103" s="37" t="s">
        <v>133</v>
      </c>
      <c r="E103" s="37" t="s">
        <v>134</v>
      </c>
      <c r="F103" s="32" t="s">
        <v>135</v>
      </c>
      <c r="G103" s="203" t="s">
        <v>436</v>
      </c>
      <c r="H103" s="187"/>
    </row>
    <row r="104" spans="2:13" x14ac:dyDescent="0.3">
      <c r="B104" s="54"/>
      <c r="C104" s="34" t="s">
        <v>232</v>
      </c>
      <c r="D104" s="37" t="s">
        <v>218</v>
      </c>
      <c r="E104" s="37" t="s">
        <v>218</v>
      </c>
      <c r="F104" s="37" t="s">
        <v>214</v>
      </c>
      <c r="G104" s="195" t="s">
        <v>214</v>
      </c>
      <c r="H104" s="187"/>
    </row>
    <row r="105" spans="2:13" x14ac:dyDescent="0.3">
      <c r="B105" s="54"/>
      <c r="C105" s="34" t="s">
        <v>233</v>
      </c>
      <c r="D105" s="37" t="s">
        <v>218</v>
      </c>
      <c r="E105" s="37" t="s">
        <v>214</v>
      </c>
      <c r="F105" s="37" t="s">
        <v>214</v>
      </c>
      <c r="G105" s="195" t="s">
        <v>214</v>
      </c>
      <c r="H105" s="187"/>
    </row>
    <row r="106" spans="2:13" x14ac:dyDescent="0.3">
      <c r="B106" s="54"/>
      <c r="C106" s="34" t="s">
        <v>234</v>
      </c>
      <c r="D106" s="37" t="s">
        <v>214</v>
      </c>
      <c r="E106" s="37" t="s">
        <v>218</v>
      </c>
      <c r="F106" s="37" t="s">
        <v>214</v>
      </c>
      <c r="G106" s="195" t="s">
        <v>214</v>
      </c>
      <c r="H106" s="187"/>
    </row>
    <row r="107" spans="2:13" x14ac:dyDescent="0.3">
      <c r="B107" s="54"/>
      <c r="C107" s="34" t="s">
        <v>235</v>
      </c>
      <c r="D107" s="37" t="s">
        <v>218</v>
      </c>
      <c r="E107" s="37" t="s">
        <v>214</v>
      </c>
      <c r="F107" s="37" t="s">
        <v>214</v>
      </c>
      <c r="G107" s="195" t="s">
        <v>214</v>
      </c>
      <c r="H107" s="187"/>
    </row>
    <row r="108" spans="2:13" x14ac:dyDescent="0.3">
      <c r="B108" s="54"/>
      <c r="C108" s="34" t="s">
        <v>236</v>
      </c>
      <c r="D108" s="37" t="s">
        <v>214</v>
      </c>
      <c r="E108" s="37" t="s">
        <v>218</v>
      </c>
      <c r="F108" s="37" t="s">
        <v>214</v>
      </c>
      <c r="G108" s="195" t="s">
        <v>214</v>
      </c>
      <c r="H108" s="187"/>
    </row>
    <row r="109" spans="2:13" x14ac:dyDescent="0.3">
      <c r="B109" s="54"/>
      <c r="C109" s="34" t="s">
        <v>237</v>
      </c>
      <c r="D109" s="37" t="s">
        <v>218</v>
      </c>
      <c r="E109" s="37" t="s">
        <v>218</v>
      </c>
      <c r="F109" s="37" t="s">
        <v>214</v>
      </c>
      <c r="G109" s="195" t="s">
        <v>214</v>
      </c>
      <c r="H109" s="187"/>
    </row>
    <row r="110" spans="2:13" x14ac:dyDescent="0.3">
      <c r="B110" s="54"/>
      <c r="C110" s="34" t="s">
        <v>238</v>
      </c>
      <c r="D110" s="37" t="s">
        <v>218</v>
      </c>
      <c r="E110" s="37" t="s">
        <v>218</v>
      </c>
      <c r="F110" s="37" t="s">
        <v>218</v>
      </c>
      <c r="G110" s="195" t="s">
        <v>218</v>
      </c>
      <c r="H110" s="196" t="s">
        <v>446</v>
      </c>
    </row>
    <row r="111" spans="2:13" x14ac:dyDescent="0.3">
      <c r="B111" s="54"/>
      <c r="C111" s="34" t="s">
        <v>239</v>
      </c>
      <c r="D111" s="37" t="s">
        <v>218</v>
      </c>
      <c r="E111" s="37" t="s">
        <v>218</v>
      </c>
      <c r="F111" s="37" t="s">
        <v>218</v>
      </c>
      <c r="G111" s="195" t="s">
        <v>218</v>
      </c>
      <c r="H111" s="196" t="s">
        <v>446</v>
      </c>
    </row>
    <row r="112" spans="2:13" x14ac:dyDescent="0.3">
      <c r="B112" s="54"/>
      <c r="C112" s="34" t="s">
        <v>240</v>
      </c>
      <c r="D112" s="37" t="s">
        <v>214</v>
      </c>
      <c r="E112" s="37" t="s">
        <v>143</v>
      </c>
      <c r="F112" s="37" t="s">
        <v>214</v>
      </c>
      <c r="G112" s="195" t="s">
        <v>214</v>
      </c>
      <c r="H112" s="187"/>
    </row>
    <row r="113" spans="1:10" x14ac:dyDescent="0.3">
      <c r="B113" s="54"/>
      <c r="C113" s="34" t="s">
        <v>241</v>
      </c>
      <c r="D113" s="37" t="s">
        <v>218</v>
      </c>
      <c r="E113" s="37" t="s">
        <v>218</v>
      </c>
      <c r="F113" s="37" t="s">
        <v>218</v>
      </c>
      <c r="G113" s="195" t="s">
        <v>218</v>
      </c>
      <c r="H113" s="196" t="s">
        <v>446</v>
      </c>
    </row>
    <row r="114" spans="1:10" x14ac:dyDescent="0.3">
      <c r="B114" s="54"/>
      <c r="C114" s="34" t="s">
        <v>242</v>
      </c>
      <c r="D114" s="37" t="s">
        <v>218</v>
      </c>
      <c r="E114" s="37" t="s">
        <v>214</v>
      </c>
      <c r="F114" s="37" t="s">
        <v>218</v>
      </c>
      <c r="G114" s="195" t="s">
        <v>214</v>
      </c>
      <c r="H114" s="187"/>
    </row>
    <row r="115" spans="1:10" x14ac:dyDescent="0.3">
      <c r="B115" s="54"/>
      <c r="C115" s="34" t="s">
        <v>243</v>
      </c>
      <c r="D115" s="37" t="s">
        <v>218</v>
      </c>
      <c r="E115" s="37" t="s">
        <v>214</v>
      </c>
      <c r="F115" s="37" t="s">
        <v>218</v>
      </c>
      <c r="G115" s="195" t="s">
        <v>214</v>
      </c>
      <c r="H115" s="187"/>
    </row>
    <row r="116" spans="1:10" x14ac:dyDescent="0.3">
      <c r="B116" s="188"/>
      <c r="C116" s="37"/>
      <c r="D116" s="37"/>
      <c r="E116" s="32"/>
      <c r="F116" s="37"/>
      <c r="G116" s="37"/>
      <c r="H116" s="187"/>
    </row>
    <row r="117" spans="1:10" ht="15" thickBot="1" x14ac:dyDescent="0.35">
      <c r="B117" s="189"/>
      <c r="C117" s="48"/>
      <c r="D117" s="48"/>
      <c r="E117" s="190"/>
      <c r="F117" s="48"/>
      <c r="G117" s="48"/>
      <c r="H117" s="191"/>
    </row>
    <row r="120" spans="1:10" x14ac:dyDescent="0.3">
      <c r="B120" s="98"/>
      <c r="C120" s="12"/>
      <c r="D120" s="9"/>
      <c r="E120" s="12"/>
      <c r="F120" s="12"/>
      <c r="G120" s="139"/>
    </row>
    <row r="121" spans="1:10" ht="18" x14ac:dyDescent="0.35">
      <c r="A121" s="99" t="s">
        <v>430</v>
      </c>
      <c r="B121" s="134" t="s">
        <v>433</v>
      </c>
      <c r="C121" s="135" t="s">
        <v>435</v>
      </c>
      <c r="D121" s="136"/>
      <c r="E121" s="137"/>
      <c r="F121" s="136"/>
    </row>
    <row r="123" spans="1:10" x14ac:dyDescent="0.3">
      <c r="B123" s="138" t="s">
        <v>445</v>
      </c>
    </row>
    <row r="126" spans="1:10" ht="18" x14ac:dyDescent="0.35">
      <c r="A126" s="99" t="s">
        <v>431</v>
      </c>
      <c r="B126" s="134" t="s">
        <v>434</v>
      </c>
      <c r="C126" s="135" t="s">
        <v>442</v>
      </c>
      <c r="D126" s="136"/>
      <c r="E126" s="137"/>
      <c r="F126" s="136"/>
      <c r="G126" s="136"/>
      <c r="H126" s="136"/>
      <c r="I126" s="136"/>
      <c r="J126" s="136"/>
    </row>
    <row r="128" spans="1:10" x14ac:dyDescent="0.3">
      <c r="B128" s="138" t="s">
        <v>443</v>
      </c>
    </row>
    <row r="129" spans="1:7" x14ac:dyDescent="0.3">
      <c r="B129" s="138" t="s">
        <v>444</v>
      </c>
    </row>
    <row r="131" spans="1:7" ht="18" x14ac:dyDescent="0.35">
      <c r="A131" s="216" t="s">
        <v>887</v>
      </c>
      <c r="B131" s="137"/>
    </row>
    <row r="133" spans="1:7" x14ac:dyDescent="0.3">
      <c r="A133" t="s">
        <v>890</v>
      </c>
    </row>
    <row r="134" spans="1:7" ht="15" thickBot="1" x14ac:dyDescent="0.35">
      <c r="A134" t="s">
        <v>891</v>
      </c>
    </row>
    <row r="135" spans="1:7" x14ac:dyDescent="0.3">
      <c r="B135" s="217"/>
      <c r="C135" s="540" t="s">
        <v>195</v>
      </c>
      <c r="D135" s="541"/>
      <c r="E135" s="540" t="s">
        <v>196</v>
      </c>
      <c r="F135" s="541"/>
      <c r="G135" s="221" t="s">
        <v>197</v>
      </c>
    </row>
    <row r="136" spans="1:7" x14ac:dyDescent="0.3">
      <c r="B136" s="225"/>
      <c r="C136" s="226" t="s">
        <v>564</v>
      </c>
      <c r="D136" s="227" t="s">
        <v>463</v>
      </c>
      <c r="E136" s="226" t="s">
        <v>564</v>
      </c>
      <c r="F136" s="227" t="s">
        <v>463</v>
      </c>
      <c r="G136" s="228"/>
    </row>
    <row r="137" spans="1:7" x14ac:dyDescent="0.3">
      <c r="B137" s="220" t="s">
        <v>888</v>
      </c>
      <c r="C137" s="31">
        <v>19</v>
      </c>
      <c r="D137" s="223">
        <v>48</v>
      </c>
      <c r="E137" s="31">
        <v>66</v>
      </c>
      <c r="F137" s="223">
        <v>42</v>
      </c>
      <c r="G137" s="218">
        <v>0</v>
      </c>
    </row>
    <row r="138" spans="1:7" ht="15" thickBot="1" x14ac:dyDescent="0.35">
      <c r="B138" s="219" t="s">
        <v>889</v>
      </c>
      <c r="C138" s="222">
        <v>28</v>
      </c>
      <c r="D138" s="224">
        <v>40</v>
      </c>
      <c r="E138" s="222">
        <v>37</v>
      </c>
      <c r="F138" s="224">
        <v>17</v>
      </c>
      <c r="G138" s="215">
        <v>0</v>
      </c>
    </row>
    <row r="139" spans="1:7" ht="15" thickBot="1" x14ac:dyDescent="0.35"/>
    <row r="140" spans="1:7" x14ac:dyDescent="0.3">
      <c r="B140" s="229" t="s">
        <v>447</v>
      </c>
    </row>
    <row r="141" spans="1:7" x14ac:dyDescent="0.3">
      <c r="B141" s="230" t="s">
        <v>448</v>
      </c>
    </row>
    <row r="142" spans="1:7" x14ac:dyDescent="0.3">
      <c r="B142" s="230" t="s">
        <v>452</v>
      </c>
    </row>
    <row r="143" spans="1:7" x14ac:dyDescent="0.3">
      <c r="B143" s="230" t="s">
        <v>462</v>
      </c>
    </row>
    <row r="144" spans="1:7" x14ac:dyDescent="0.3">
      <c r="B144" s="230" t="s">
        <v>459</v>
      </c>
    </row>
    <row r="145" spans="1:2" x14ac:dyDescent="0.3">
      <c r="B145" s="230" t="s">
        <v>276</v>
      </c>
    </row>
    <row r="146" spans="1:2" x14ac:dyDescent="0.3">
      <c r="B146" s="230" t="s">
        <v>450</v>
      </c>
    </row>
    <row r="147" spans="1:2" x14ac:dyDescent="0.3">
      <c r="B147" s="230" t="s">
        <v>451</v>
      </c>
    </row>
    <row r="148" spans="1:2" x14ac:dyDescent="0.3">
      <c r="B148" s="230" t="s">
        <v>460</v>
      </c>
    </row>
    <row r="149" spans="1:2" x14ac:dyDescent="0.3">
      <c r="B149" s="230" t="s">
        <v>461</v>
      </c>
    </row>
    <row r="150" spans="1:2" x14ac:dyDescent="0.3">
      <c r="B150" s="230" t="s">
        <v>453</v>
      </c>
    </row>
    <row r="151" spans="1:2" x14ac:dyDescent="0.3">
      <c r="B151" s="230" t="s">
        <v>454</v>
      </c>
    </row>
    <row r="152" spans="1:2" x14ac:dyDescent="0.3">
      <c r="B152" s="230" t="s">
        <v>455</v>
      </c>
    </row>
    <row r="153" spans="1:2" x14ac:dyDescent="0.3">
      <c r="B153" s="230" t="s">
        <v>456</v>
      </c>
    </row>
    <row r="154" spans="1:2" x14ac:dyDescent="0.3">
      <c r="B154" s="230" t="s">
        <v>457</v>
      </c>
    </row>
    <row r="155" spans="1:2" ht="15" thickBot="1" x14ac:dyDescent="0.35">
      <c r="B155" s="231" t="s">
        <v>458</v>
      </c>
    </row>
    <row r="158" spans="1:2" ht="18" x14ac:dyDescent="0.35">
      <c r="A158" s="216" t="s">
        <v>892</v>
      </c>
      <c r="B158" s="137"/>
    </row>
    <row r="163" spans="2:2" ht="15" thickBot="1" x14ac:dyDescent="0.35"/>
    <row r="164" spans="2:2" x14ac:dyDescent="0.3">
      <c r="B164" s="232" t="s">
        <v>447</v>
      </c>
    </row>
    <row r="165" spans="2:2" x14ac:dyDescent="0.3">
      <c r="B165" s="233" t="s">
        <v>448</v>
      </c>
    </row>
    <row r="166" spans="2:2" x14ac:dyDescent="0.3">
      <c r="B166" s="234" t="s">
        <v>449</v>
      </c>
    </row>
    <row r="167" spans="2:2" x14ac:dyDescent="0.3">
      <c r="B167" s="234" t="s">
        <v>276</v>
      </c>
    </row>
    <row r="168" spans="2:2" x14ac:dyDescent="0.3">
      <c r="B168" s="234" t="s">
        <v>450</v>
      </c>
    </row>
    <row r="169" spans="2:2" x14ac:dyDescent="0.3">
      <c r="B169" s="234" t="s">
        <v>451</v>
      </c>
    </row>
    <row r="170" spans="2:2" x14ac:dyDescent="0.3">
      <c r="B170" s="234" t="s">
        <v>453</v>
      </c>
    </row>
    <row r="171" spans="2:2" x14ac:dyDescent="0.3">
      <c r="B171" s="234" t="s">
        <v>454</v>
      </c>
    </row>
    <row r="172" spans="2:2" x14ac:dyDescent="0.3">
      <c r="B172" s="234" t="s">
        <v>455</v>
      </c>
    </row>
    <row r="173" spans="2:2" x14ac:dyDescent="0.3">
      <c r="B173" s="234" t="s">
        <v>456</v>
      </c>
    </row>
    <row r="174" spans="2:2" x14ac:dyDescent="0.3">
      <c r="B174" s="234" t="s">
        <v>457</v>
      </c>
    </row>
    <row r="175" spans="2:2" ht="15" thickBot="1" x14ac:dyDescent="0.35">
      <c r="B175" s="235" t="s">
        <v>458</v>
      </c>
    </row>
  </sheetData>
  <mergeCells count="2">
    <mergeCell ref="C135:D135"/>
    <mergeCell ref="E135:F135"/>
  </mergeCells>
  <conditionalFormatting sqref="B46:B48">
    <cfRule type="containsText" dxfId="48" priority="2" operator="containsText" text="&lt;">
      <formula>NOT(ISERROR(SEARCH("&lt;",B46)))</formula>
    </cfRule>
  </conditionalFormatting>
  <conditionalFormatting sqref="B55">
    <cfRule type="cellIs" dxfId="47" priority="3" operator="equal">
      <formula>" "</formula>
    </cfRule>
    <cfRule type="cellIs" dxfId="46" priority="4" operator="equal">
      <formula>"  "</formula>
    </cfRule>
  </conditionalFormatting>
  <conditionalFormatting sqref="B56:B67 B94:B96 B120">
    <cfRule type="containsText" dxfId="45" priority="5" operator="containsText" text="&lt;">
      <formula>NOT(ISERROR(SEARCH("&lt;",B56)))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4"/>
  <sheetViews>
    <sheetView topLeftCell="F41" workbookViewId="0">
      <selection activeCell="L60" sqref="L60"/>
    </sheetView>
  </sheetViews>
  <sheetFormatPr baseColWidth="10" defaultColWidth="11.5546875" defaultRowHeight="14.4" x14ac:dyDescent="0.3"/>
  <cols>
    <col min="1" max="2" width="11.5546875" style="6"/>
    <col min="3" max="3" width="11.5546875" style="52"/>
    <col min="4" max="4" width="14.6640625" style="52" bestFit="1" customWidth="1"/>
    <col min="5" max="5" width="50.33203125" style="6" customWidth="1"/>
    <col min="6" max="6" width="8.88671875" style="13" bestFit="1" customWidth="1"/>
    <col min="7" max="7" width="8.88671875" style="13" customWidth="1"/>
    <col min="8" max="8" width="15.44140625" style="13" customWidth="1"/>
    <col min="9" max="9" width="16.88671875" style="13" bestFit="1" customWidth="1"/>
    <col min="10" max="10" width="17" style="13" bestFit="1" customWidth="1"/>
    <col min="11" max="11" width="12.44140625" style="13" bestFit="1" customWidth="1"/>
    <col min="12" max="16384" width="11.5546875" style="6"/>
  </cols>
  <sheetData>
    <row r="1" spans="1:11" s="105" customFormat="1" ht="29.4" thickBot="1" x14ac:dyDescent="0.35">
      <c r="A1" s="111" t="s">
        <v>1586</v>
      </c>
      <c r="B1" s="111" t="s">
        <v>1581</v>
      </c>
      <c r="C1" s="111" t="s">
        <v>1573</v>
      </c>
      <c r="D1" s="111" t="s">
        <v>1702</v>
      </c>
      <c r="E1" s="111" t="s">
        <v>1574</v>
      </c>
      <c r="F1" s="111" t="s">
        <v>164</v>
      </c>
      <c r="G1" s="111" t="s">
        <v>1711</v>
      </c>
      <c r="H1" s="112" t="s">
        <v>1587</v>
      </c>
      <c r="I1" s="111" t="s">
        <v>137</v>
      </c>
      <c r="J1" s="111" t="s">
        <v>138</v>
      </c>
      <c r="K1" s="111" t="s">
        <v>250</v>
      </c>
    </row>
    <row r="2" spans="1:11" x14ac:dyDescent="0.3">
      <c r="A2" s="103" t="s">
        <v>16</v>
      </c>
      <c r="B2" s="103" t="s">
        <v>16</v>
      </c>
      <c r="C2" s="113" t="s">
        <v>134</v>
      </c>
      <c r="D2" s="114" t="s">
        <v>1577</v>
      </c>
      <c r="E2" s="89" t="s">
        <v>29</v>
      </c>
      <c r="F2" s="127"/>
      <c r="G2">
        <v>5</v>
      </c>
      <c r="H2" s="126"/>
      <c r="I2" s="126"/>
      <c r="J2" s="11">
        <v>0.13</v>
      </c>
      <c r="K2" s="123">
        <v>0.39</v>
      </c>
    </row>
    <row r="3" spans="1:11" x14ac:dyDescent="0.3">
      <c r="A3" s="103" t="s">
        <v>17</v>
      </c>
      <c r="B3" s="103" t="s">
        <v>17</v>
      </c>
      <c r="C3" s="114" t="s">
        <v>134</v>
      </c>
      <c r="D3" s="114" t="s">
        <v>1577</v>
      </c>
      <c r="E3" s="89" t="s">
        <v>29</v>
      </c>
      <c r="F3" s="127"/>
      <c r="G3">
        <v>6</v>
      </c>
      <c r="H3" s="126"/>
      <c r="I3" s="126"/>
      <c r="J3" s="11">
        <v>0.01</v>
      </c>
      <c r="K3" s="123">
        <v>0.81</v>
      </c>
    </row>
    <row r="4" spans="1:11" x14ac:dyDescent="0.3">
      <c r="A4" s="103" t="s">
        <v>18</v>
      </c>
      <c r="B4" s="103" t="s">
        <v>18</v>
      </c>
      <c r="C4" s="114" t="s">
        <v>134</v>
      </c>
      <c r="D4" s="114" t="s">
        <v>1577</v>
      </c>
      <c r="E4" s="89" t="s">
        <v>29</v>
      </c>
      <c r="F4" s="127"/>
      <c r="G4">
        <v>7</v>
      </c>
      <c r="H4" s="126"/>
      <c r="I4" s="126"/>
      <c r="J4" s="11">
        <v>0.04</v>
      </c>
      <c r="K4" s="123">
        <v>0.77</v>
      </c>
    </row>
    <row r="5" spans="1:11" x14ac:dyDescent="0.3">
      <c r="A5" s="103" t="s">
        <v>19</v>
      </c>
      <c r="B5" s="103" t="s">
        <v>19</v>
      </c>
      <c r="C5" s="114" t="s">
        <v>134</v>
      </c>
      <c r="D5" s="114" t="s">
        <v>1577</v>
      </c>
      <c r="E5" s="89" t="s">
        <v>29</v>
      </c>
      <c r="F5" s="127"/>
      <c r="G5">
        <v>8</v>
      </c>
      <c r="H5" s="126"/>
      <c r="I5" s="126"/>
      <c r="J5" s="11">
        <v>0.1</v>
      </c>
      <c r="K5" s="123">
        <v>1.66</v>
      </c>
    </row>
    <row r="6" spans="1:11" x14ac:dyDescent="0.3">
      <c r="A6" s="103" t="s">
        <v>21</v>
      </c>
      <c r="B6" s="103" t="s">
        <v>21</v>
      </c>
      <c r="C6" s="114" t="s">
        <v>134</v>
      </c>
      <c r="D6" s="114" t="s">
        <v>1577</v>
      </c>
      <c r="E6" s="89" t="s">
        <v>29</v>
      </c>
      <c r="F6" s="127"/>
      <c r="G6">
        <v>9</v>
      </c>
      <c r="H6" s="126"/>
      <c r="I6" s="126"/>
      <c r="J6" s="11">
        <v>0.01</v>
      </c>
      <c r="K6" s="123">
        <v>0.06</v>
      </c>
    </row>
    <row r="7" spans="1:11" x14ac:dyDescent="0.3">
      <c r="A7" s="103" t="s">
        <v>22</v>
      </c>
      <c r="B7" s="103" t="s">
        <v>22</v>
      </c>
      <c r="C7" s="114" t="s">
        <v>134</v>
      </c>
      <c r="D7" s="114" t="s">
        <v>1577</v>
      </c>
      <c r="E7" s="89" t="s">
        <v>29</v>
      </c>
      <c r="F7" s="127"/>
      <c r="G7">
        <v>10</v>
      </c>
      <c r="H7" s="126"/>
      <c r="I7" s="126"/>
      <c r="J7" s="11">
        <v>0.02</v>
      </c>
      <c r="K7" s="123">
        <v>0.56000000000000005</v>
      </c>
    </row>
    <row r="8" spans="1:11" x14ac:dyDescent="0.3">
      <c r="A8" s="103" t="s">
        <v>1498</v>
      </c>
      <c r="B8" s="103" t="s">
        <v>1498</v>
      </c>
      <c r="C8" s="114" t="s">
        <v>134</v>
      </c>
      <c r="D8" s="114" t="s">
        <v>1577</v>
      </c>
      <c r="E8" s="89" t="s">
        <v>29</v>
      </c>
      <c r="F8" s="127"/>
      <c r="G8">
        <v>11</v>
      </c>
      <c r="H8" s="126"/>
      <c r="I8" s="126"/>
      <c r="J8" s="11">
        <v>0.03</v>
      </c>
      <c r="K8" s="123">
        <v>0.17</v>
      </c>
    </row>
    <row r="9" spans="1:11" x14ac:dyDescent="0.3">
      <c r="A9" s="103" t="s">
        <v>24</v>
      </c>
      <c r="B9" s="103" t="s">
        <v>24</v>
      </c>
      <c r="C9" s="114" t="s">
        <v>134</v>
      </c>
      <c r="D9" s="114" t="s">
        <v>1577</v>
      </c>
      <c r="E9" s="89" t="s">
        <v>29</v>
      </c>
      <c r="F9" s="127"/>
      <c r="G9">
        <v>12</v>
      </c>
      <c r="H9" s="126"/>
      <c r="I9" s="126"/>
      <c r="J9" s="11">
        <v>0.04</v>
      </c>
      <c r="K9" s="123">
        <v>0.02</v>
      </c>
    </row>
    <row r="10" spans="1:11" x14ac:dyDescent="0.3">
      <c r="A10" s="103" t="s">
        <v>12</v>
      </c>
      <c r="B10" s="103" t="s">
        <v>12</v>
      </c>
      <c r="C10" s="114" t="s">
        <v>134</v>
      </c>
      <c r="D10" s="114" t="s">
        <v>1577</v>
      </c>
      <c r="E10" s="89" t="s">
        <v>29</v>
      </c>
      <c r="F10" s="127"/>
      <c r="G10">
        <v>13</v>
      </c>
      <c r="H10" s="126"/>
      <c r="I10" s="126"/>
      <c r="J10" s="11">
        <v>0.03</v>
      </c>
      <c r="K10" s="123">
        <v>0.03</v>
      </c>
    </row>
    <row r="11" spans="1:11" x14ac:dyDescent="0.3">
      <c r="A11" s="103" t="s">
        <v>25</v>
      </c>
      <c r="B11" s="103" t="s">
        <v>25</v>
      </c>
      <c r="C11" s="114" t="s">
        <v>134</v>
      </c>
      <c r="D11" s="114" t="s">
        <v>1577</v>
      </c>
      <c r="E11" s="89" t="s">
        <v>29</v>
      </c>
      <c r="F11" s="127"/>
      <c r="G11">
        <v>14</v>
      </c>
      <c r="H11" s="126"/>
      <c r="I11" s="126"/>
      <c r="J11" s="11">
        <v>0.04</v>
      </c>
      <c r="K11" s="123">
        <v>0.05</v>
      </c>
    </row>
    <row r="12" spans="1:11" x14ac:dyDescent="0.3">
      <c r="A12" s="103" t="s">
        <v>26</v>
      </c>
      <c r="B12" s="103" t="s">
        <v>26</v>
      </c>
      <c r="C12" s="114" t="s">
        <v>134</v>
      </c>
      <c r="D12" s="114" t="s">
        <v>1575</v>
      </c>
      <c r="E12" s="119" t="s">
        <v>33</v>
      </c>
      <c r="F12" s="127"/>
      <c r="G12" s="127"/>
      <c r="H12" s="127"/>
      <c r="I12" s="126"/>
      <c r="J12" s="132">
        <v>4.0000000000000001E-3</v>
      </c>
      <c r="K12" s="11">
        <v>0.23</v>
      </c>
    </row>
    <row r="13" spans="1:11" x14ac:dyDescent="0.3">
      <c r="A13" s="104" t="s">
        <v>27</v>
      </c>
      <c r="B13" s="104" t="s">
        <v>27</v>
      </c>
      <c r="C13" s="115" t="s">
        <v>134</v>
      </c>
      <c r="D13" s="114" t="s">
        <v>1575</v>
      </c>
      <c r="E13" s="119" t="s">
        <v>33</v>
      </c>
      <c r="F13" s="127"/>
      <c r="G13" s="127"/>
      <c r="H13" s="127"/>
      <c r="I13" s="127"/>
      <c r="J13" s="11">
        <v>0.01</v>
      </c>
      <c r="K13" s="133"/>
    </row>
    <row r="14" spans="1:11" x14ac:dyDescent="0.3">
      <c r="A14" s="104" t="s">
        <v>28</v>
      </c>
      <c r="B14" s="104" t="s">
        <v>28</v>
      </c>
      <c r="C14" s="115" t="s">
        <v>134</v>
      </c>
      <c r="D14" s="114" t="s">
        <v>1575</v>
      </c>
      <c r="E14" s="119" t="s">
        <v>33</v>
      </c>
      <c r="F14" s="127"/>
      <c r="G14" s="127"/>
      <c r="H14" s="127"/>
      <c r="I14" s="126"/>
      <c r="J14" s="11">
        <v>0.01</v>
      </c>
      <c r="K14" s="133"/>
    </row>
    <row r="15" spans="1:11" x14ac:dyDescent="0.3">
      <c r="A15" s="103" t="s">
        <v>9</v>
      </c>
      <c r="B15" s="103" t="s">
        <v>9</v>
      </c>
      <c r="C15" s="114" t="s">
        <v>134</v>
      </c>
      <c r="D15" s="114" t="s">
        <v>1576</v>
      </c>
      <c r="E15" s="119" t="s">
        <v>32</v>
      </c>
      <c r="F15" s="127"/>
      <c r="G15" s="127"/>
      <c r="H15" s="127"/>
      <c r="I15" s="127"/>
      <c r="J15" s="11">
        <v>0.04</v>
      </c>
      <c r="K15" s="11">
        <v>0.78</v>
      </c>
    </row>
    <row r="16" spans="1:11" x14ac:dyDescent="0.3">
      <c r="A16" s="103" t="s">
        <v>23</v>
      </c>
      <c r="B16" s="103" t="s">
        <v>23</v>
      </c>
      <c r="C16" s="114" t="s">
        <v>134</v>
      </c>
      <c r="D16" s="114" t="s">
        <v>1576</v>
      </c>
      <c r="E16" s="119" t="s">
        <v>32</v>
      </c>
      <c r="F16" s="127"/>
      <c r="G16" s="127"/>
      <c r="H16" s="127"/>
      <c r="I16" s="127"/>
      <c r="J16" s="132">
        <v>2E-3</v>
      </c>
      <c r="K16" s="11">
        <v>0.15</v>
      </c>
    </row>
    <row r="17" spans="1:12" x14ac:dyDescent="0.3">
      <c r="A17" s="103" t="s">
        <v>10</v>
      </c>
      <c r="B17" s="103" t="s">
        <v>10</v>
      </c>
      <c r="C17" s="114" t="s">
        <v>134</v>
      </c>
      <c r="D17" s="114" t="s">
        <v>1576</v>
      </c>
      <c r="E17" s="119" t="s">
        <v>32</v>
      </c>
      <c r="F17" s="127"/>
      <c r="G17" s="127"/>
      <c r="H17" s="127"/>
      <c r="I17" s="127"/>
      <c r="J17" s="11">
        <v>0.04</v>
      </c>
      <c r="K17" s="11">
        <v>0.1</v>
      </c>
    </row>
    <row r="18" spans="1:12" x14ac:dyDescent="0.3">
      <c r="A18" s="103" t="s">
        <v>4</v>
      </c>
      <c r="B18" s="103" t="s">
        <v>4</v>
      </c>
      <c r="C18" s="114" t="s">
        <v>134</v>
      </c>
      <c r="D18" s="114" t="s">
        <v>1579</v>
      </c>
      <c r="E18" s="119" t="s">
        <v>1578</v>
      </c>
      <c r="F18" s="127"/>
      <c r="G18">
        <v>4</v>
      </c>
      <c r="H18" s="127"/>
      <c r="I18" s="129"/>
      <c r="J18" s="132">
        <v>5.0000000000000001E-3</v>
      </c>
      <c r="K18" s="11">
        <v>0.55000000000000004</v>
      </c>
    </row>
    <row r="19" spans="1:12" x14ac:dyDescent="0.3">
      <c r="A19" s="103" t="s">
        <v>20</v>
      </c>
      <c r="B19" s="103" t="s">
        <v>20</v>
      </c>
      <c r="C19" s="114" t="s">
        <v>134</v>
      </c>
      <c r="D19" s="114" t="s">
        <v>1579</v>
      </c>
      <c r="E19" s="119" t="s">
        <v>1578</v>
      </c>
      <c r="F19" s="127"/>
      <c r="G19">
        <v>6</v>
      </c>
      <c r="H19" s="127"/>
      <c r="I19" s="129"/>
      <c r="J19" s="11">
        <v>0.01</v>
      </c>
      <c r="K19" s="11">
        <v>1.64</v>
      </c>
    </row>
    <row r="20" spans="1:12" x14ac:dyDescent="0.3">
      <c r="A20" s="103" t="s">
        <v>8</v>
      </c>
      <c r="B20" s="103" t="s">
        <v>8</v>
      </c>
      <c r="C20" s="114" t="s">
        <v>134</v>
      </c>
      <c r="D20" s="114" t="s">
        <v>1579</v>
      </c>
      <c r="E20" s="119" t="s">
        <v>1578</v>
      </c>
      <c r="F20" s="127"/>
      <c r="G20">
        <v>7</v>
      </c>
      <c r="H20" s="127"/>
      <c r="I20" s="129"/>
      <c r="J20" s="11">
        <v>0.01</v>
      </c>
      <c r="K20" s="11">
        <v>1.21</v>
      </c>
    </row>
    <row r="21" spans="1:12" x14ac:dyDescent="0.3">
      <c r="A21" s="103" t="s">
        <v>1659</v>
      </c>
      <c r="B21" s="103" t="s">
        <v>1582</v>
      </c>
      <c r="C21" s="114" t="s">
        <v>134</v>
      </c>
      <c r="D21" s="114" t="s">
        <v>1579</v>
      </c>
      <c r="E21" s="119" t="s">
        <v>1578</v>
      </c>
      <c r="F21" s="127"/>
      <c r="G21">
        <v>8</v>
      </c>
      <c r="H21" s="127"/>
      <c r="I21" s="127"/>
      <c r="J21" s="11"/>
      <c r="K21" s="11">
        <v>0.73</v>
      </c>
      <c r="L21" s="51"/>
    </row>
    <row r="22" spans="1:12" x14ac:dyDescent="0.3">
      <c r="A22" s="103" t="s">
        <v>1660</v>
      </c>
      <c r="B22" s="103" t="s">
        <v>1583</v>
      </c>
      <c r="C22" s="114" t="s">
        <v>134</v>
      </c>
      <c r="D22" s="114" t="s">
        <v>1579</v>
      </c>
      <c r="E22" s="119" t="s">
        <v>1578</v>
      </c>
      <c r="F22" s="127"/>
      <c r="G22">
        <v>8</v>
      </c>
      <c r="H22" s="127"/>
      <c r="I22" s="126"/>
      <c r="J22" s="11"/>
      <c r="K22" s="11">
        <v>0.73</v>
      </c>
    </row>
    <row r="23" spans="1:12" x14ac:dyDescent="0.3">
      <c r="A23" s="103" t="s">
        <v>11</v>
      </c>
      <c r="B23" s="103" t="s">
        <v>11</v>
      </c>
      <c r="C23" s="114" t="s">
        <v>134</v>
      </c>
      <c r="D23" s="114" t="s">
        <v>1579</v>
      </c>
      <c r="E23" s="119" t="s">
        <v>1578</v>
      </c>
      <c r="F23" s="127"/>
      <c r="G23">
        <v>10</v>
      </c>
      <c r="H23" s="127"/>
      <c r="I23" s="126"/>
      <c r="J23" s="11">
        <v>0.01</v>
      </c>
      <c r="K23" s="11">
        <v>0.24</v>
      </c>
    </row>
    <row r="24" spans="1:12" x14ac:dyDescent="0.3">
      <c r="A24" s="103" t="s">
        <v>7</v>
      </c>
      <c r="B24" s="103" t="s">
        <v>7</v>
      </c>
      <c r="C24" s="114" t="s">
        <v>134</v>
      </c>
      <c r="D24" s="114" t="s">
        <v>1580</v>
      </c>
      <c r="E24" s="89" t="s">
        <v>113</v>
      </c>
      <c r="F24" s="127"/>
      <c r="G24" s="127"/>
      <c r="H24" s="126"/>
      <c r="I24" s="126"/>
      <c r="J24" s="11">
        <v>0.01</v>
      </c>
      <c r="K24" s="123">
        <v>0.28999999999999998</v>
      </c>
    </row>
    <row r="25" spans="1:12" x14ac:dyDescent="0.3">
      <c r="A25" s="103" t="s">
        <v>1661</v>
      </c>
      <c r="B25" s="103" t="s">
        <v>1608</v>
      </c>
      <c r="C25" s="114" t="s">
        <v>134</v>
      </c>
      <c r="D25" s="114" t="s">
        <v>1607</v>
      </c>
      <c r="E25" s="119" t="s">
        <v>30</v>
      </c>
      <c r="F25" s="127"/>
      <c r="G25" s="127"/>
      <c r="H25" s="127"/>
      <c r="I25" s="126"/>
      <c r="J25" s="132">
        <v>1E-3</v>
      </c>
      <c r="K25" s="11">
        <v>0.14000000000000001</v>
      </c>
    </row>
    <row r="26" spans="1:12" x14ac:dyDescent="0.3">
      <c r="A26" s="103" t="s">
        <v>1662</v>
      </c>
      <c r="B26" s="103" t="s">
        <v>1609</v>
      </c>
      <c r="C26" s="114" t="s">
        <v>134</v>
      </c>
      <c r="D26" s="114" t="s">
        <v>1607</v>
      </c>
      <c r="E26" s="119" t="s">
        <v>30</v>
      </c>
      <c r="F26" s="127"/>
      <c r="G26" s="127"/>
      <c r="H26" s="127"/>
      <c r="I26" s="126"/>
      <c r="J26" s="11">
        <v>0.01</v>
      </c>
      <c r="K26" s="11">
        <v>0.03</v>
      </c>
    </row>
    <row r="27" spans="1:12" x14ac:dyDescent="0.3">
      <c r="A27" s="103" t="s">
        <v>1663</v>
      </c>
      <c r="B27" s="103" t="s">
        <v>1610</v>
      </c>
      <c r="C27" s="114" t="s">
        <v>134</v>
      </c>
      <c r="D27" s="114" t="s">
        <v>1607</v>
      </c>
      <c r="E27" s="119" t="s">
        <v>30</v>
      </c>
      <c r="F27" s="127"/>
      <c r="G27" s="127"/>
      <c r="H27" s="127"/>
      <c r="I27" s="126"/>
      <c r="J27" s="11">
        <v>0.02</v>
      </c>
      <c r="K27" s="11">
        <v>0.03</v>
      </c>
    </row>
    <row r="28" spans="1:12" x14ac:dyDescent="0.3">
      <c r="A28" s="103" t="s">
        <v>1664</v>
      </c>
      <c r="B28" s="103" t="s">
        <v>1611</v>
      </c>
      <c r="C28" s="114" t="s">
        <v>134</v>
      </c>
      <c r="D28" s="114" t="s">
        <v>1607</v>
      </c>
      <c r="E28" s="119" t="s">
        <v>30</v>
      </c>
      <c r="F28" s="127"/>
      <c r="G28" s="127"/>
      <c r="H28" s="127"/>
      <c r="I28" s="126"/>
      <c r="J28" s="131">
        <v>2.0000000000000001E-4</v>
      </c>
      <c r="K28" s="11">
        <v>0.19</v>
      </c>
    </row>
    <row r="29" spans="1:12" x14ac:dyDescent="0.3">
      <c r="A29" s="103" t="s">
        <v>1665</v>
      </c>
      <c r="B29" s="103" t="s">
        <v>1584</v>
      </c>
      <c r="C29" s="114" t="s">
        <v>134</v>
      </c>
      <c r="D29" s="114" t="s">
        <v>1703</v>
      </c>
      <c r="E29" s="119" t="s">
        <v>31</v>
      </c>
      <c r="F29" s="127"/>
      <c r="G29" s="127"/>
      <c r="H29" s="127"/>
      <c r="I29" s="126"/>
      <c r="J29" s="11">
        <v>0.34</v>
      </c>
      <c r="K29" s="11">
        <v>3.45</v>
      </c>
    </row>
    <row r="30" spans="1:12" x14ac:dyDescent="0.3">
      <c r="A30" s="103" t="s">
        <v>1666</v>
      </c>
      <c r="B30" s="103" t="s">
        <v>1585</v>
      </c>
      <c r="C30" s="114" t="s">
        <v>134</v>
      </c>
      <c r="D30" s="114" t="s">
        <v>1703</v>
      </c>
      <c r="E30" s="119" t="s">
        <v>31</v>
      </c>
      <c r="F30" s="127"/>
      <c r="G30" s="127"/>
      <c r="H30" s="127"/>
      <c r="I30" s="127"/>
      <c r="J30" s="131">
        <v>0.01</v>
      </c>
      <c r="K30" s="11">
        <v>0.24</v>
      </c>
    </row>
    <row r="31" spans="1:12" x14ac:dyDescent="0.3">
      <c r="A31" s="103" t="s">
        <v>1667</v>
      </c>
      <c r="B31" s="103" t="s">
        <v>5</v>
      </c>
      <c r="C31" s="114" t="s">
        <v>134</v>
      </c>
      <c r="D31" s="114" t="s">
        <v>1580</v>
      </c>
      <c r="E31" s="120" t="s">
        <v>34</v>
      </c>
      <c r="F31" s="127"/>
      <c r="G31" s="127"/>
      <c r="H31" s="127"/>
      <c r="I31" s="129"/>
      <c r="J31" s="11">
        <v>0.03</v>
      </c>
      <c r="K31" s="11">
        <v>0.78</v>
      </c>
    </row>
    <row r="32" spans="1:12" s="53" customFormat="1" ht="15" thickBot="1" x14ac:dyDescent="0.35">
      <c r="A32" s="106" t="s">
        <v>6</v>
      </c>
      <c r="B32" s="106" t="s">
        <v>6</v>
      </c>
      <c r="C32" s="116" t="s">
        <v>134</v>
      </c>
      <c r="D32" s="116" t="s">
        <v>1580</v>
      </c>
      <c r="E32" s="121" t="s">
        <v>35</v>
      </c>
      <c r="F32" s="128"/>
      <c r="G32" s="128"/>
      <c r="H32" s="128"/>
      <c r="I32" s="130"/>
      <c r="J32" s="124">
        <v>0.02</v>
      </c>
      <c r="K32" s="124">
        <v>0.74</v>
      </c>
    </row>
    <row r="33" spans="1:11" x14ac:dyDescent="0.3">
      <c r="A33" s="107" t="s">
        <v>114</v>
      </c>
      <c r="B33" s="107" t="s">
        <v>1588</v>
      </c>
      <c r="C33" s="115" t="s">
        <v>133</v>
      </c>
      <c r="D33" s="115"/>
      <c r="E33" s="8"/>
      <c r="F33" s="114">
        <v>5.67</v>
      </c>
      <c r="G33" s="114"/>
      <c r="H33" s="114" t="s">
        <v>144</v>
      </c>
      <c r="I33" s="114">
        <v>0.3</v>
      </c>
      <c r="J33" s="114">
        <v>1</v>
      </c>
      <c r="K33" s="114"/>
    </row>
    <row r="34" spans="1:11" x14ac:dyDescent="0.3">
      <c r="A34" s="107" t="s">
        <v>115</v>
      </c>
      <c r="B34" s="107" t="s">
        <v>1589</v>
      </c>
      <c r="C34" s="115" t="s">
        <v>133</v>
      </c>
      <c r="D34" s="115"/>
      <c r="E34" s="8"/>
      <c r="F34" s="114">
        <v>5.67</v>
      </c>
      <c r="G34" s="114"/>
      <c r="H34" s="114" t="s">
        <v>144</v>
      </c>
      <c r="I34" s="114">
        <v>0.3</v>
      </c>
      <c r="J34" s="114">
        <v>1</v>
      </c>
      <c r="K34" s="114"/>
    </row>
    <row r="35" spans="1:11" x14ac:dyDescent="0.3">
      <c r="A35" s="107" t="s">
        <v>116</v>
      </c>
      <c r="B35" s="107" t="s">
        <v>1590</v>
      </c>
      <c r="C35" s="114" t="s">
        <v>133</v>
      </c>
      <c r="D35" s="114"/>
      <c r="E35" s="119"/>
      <c r="F35" s="114">
        <v>5.75</v>
      </c>
      <c r="G35" s="114"/>
      <c r="H35" s="114" t="s">
        <v>145</v>
      </c>
      <c r="I35" s="115">
        <v>0.27</v>
      </c>
      <c r="J35" s="115">
        <v>1</v>
      </c>
      <c r="K35" s="114"/>
    </row>
    <row r="36" spans="1:11" x14ac:dyDescent="0.3">
      <c r="A36" s="107" t="s">
        <v>117</v>
      </c>
      <c r="B36" s="107" t="s">
        <v>1591</v>
      </c>
      <c r="C36" s="115" t="s">
        <v>133</v>
      </c>
      <c r="D36" s="115"/>
      <c r="E36" s="8"/>
      <c r="F36" s="114">
        <v>5.63</v>
      </c>
      <c r="G36" s="114"/>
      <c r="H36" s="114" t="s">
        <v>146</v>
      </c>
      <c r="I36" s="115">
        <v>0.3</v>
      </c>
      <c r="J36" s="115">
        <v>1</v>
      </c>
      <c r="K36" s="114"/>
    </row>
    <row r="37" spans="1:11" x14ac:dyDescent="0.3">
      <c r="A37" s="107" t="s">
        <v>118</v>
      </c>
      <c r="B37" s="107" t="s">
        <v>1592</v>
      </c>
      <c r="C37" s="115" t="s">
        <v>133</v>
      </c>
      <c r="D37" s="115"/>
      <c r="E37" s="8"/>
      <c r="F37" s="114">
        <v>5.84</v>
      </c>
      <c r="G37" s="114"/>
      <c r="H37" s="114" t="s">
        <v>147</v>
      </c>
      <c r="I37" s="115">
        <v>0.25</v>
      </c>
      <c r="J37" s="115">
        <v>0.83</v>
      </c>
      <c r="K37" s="114"/>
    </row>
    <row r="38" spans="1:11" x14ac:dyDescent="0.3">
      <c r="A38" s="107" t="s">
        <v>119</v>
      </c>
      <c r="B38" s="107" t="s">
        <v>1593</v>
      </c>
      <c r="C38" s="114" t="s">
        <v>133</v>
      </c>
      <c r="D38" s="114"/>
      <c r="E38" s="89"/>
      <c r="F38" s="115">
        <v>6.38</v>
      </c>
      <c r="G38" s="115"/>
      <c r="H38" s="115" t="s">
        <v>148</v>
      </c>
      <c r="I38" s="115">
        <v>0.69</v>
      </c>
      <c r="J38" s="115">
        <v>2.2999999999999998</v>
      </c>
      <c r="K38" s="115"/>
    </row>
    <row r="39" spans="1:11" x14ac:dyDescent="0.3">
      <c r="A39" s="107" t="s">
        <v>120</v>
      </c>
      <c r="B39" s="107" t="s">
        <v>1594</v>
      </c>
      <c r="C39" s="115" t="s">
        <v>133</v>
      </c>
      <c r="D39" s="115"/>
      <c r="E39" s="8"/>
      <c r="F39" s="114">
        <v>6.65</v>
      </c>
      <c r="G39" s="114"/>
      <c r="H39" s="114" t="s">
        <v>149</v>
      </c>
      <c r="I39" s="115">
        <v>0.35</v>
      </c>
      <c r="J39" s="115">
        <v>1.18</v>
      </c>
      <c r="K39" s="114"/>
    </row>
    <row r="40" spans="1:11" x14ac:dyDescent="0.3">
      <c r="A40" s="107" t="s">
        <v>121</v>
      </c>
      <c r="B40" s="107" t="s">
        <v>1595</v>
      </c>
      <c r="C40" s="114" t="s">
        <v>133</v>
      </c>
      <c r="D40" s="114"/>
      <c r="E40" s="89"/>
      <c r="F40" s="115">
        <v>6.48</v>
      </c>
      <c r="G40" s="115"/>
      <c r="H40" s="115" t="s">
        <v>150</v>
      </c>
      <c r="I40" s="115">
        <v>1.31</v>
      </c>
      <c r="J40" s="115">
        <v>4.3499999999999996</v>
      </c>
      <c r="K40" s="115"/>
    </row>
    <row r="41" spans="1:11" x14ac:dyDescent="0.3">
      <c r="A41" s="107" t="s">
        <v>122</v>
      </c>
      <c r="B41" s="107" t="s">
        <v>1596</v>
      </c>
      <c r="C41" s="115" t="s">
        <v>133</v>
      </c>
      <c r="D41" s="115"/>
      <c r="E41" s="8"/>
      <c r="F41" s="114">
        <v>6.74</v>
      </c>
      <c r="G41" s="114"/>
      <c r="H41" s="114" t="s">
        <v>148</v>
      </c>
      <c r="I41" s="115">
        <v>1.1499999999999999</v>
      </c>
      <c r="J41" s="115">
        <v>3.84</v>
      </c>
      <c r="K41" s="114"/>
    </row>
    <row r="42" spans="1:11" x14ac:dyDescent="0.3">
      <c r="A42" s="107" t="s">
        <v>123</v>
      </c>
      <c r="B42" s="107" t="s">
        <v>1597</v>
      </c>
      <c r="C42" s="115" t="s">
        <v>133</v>
      </c>
      <c r="D42" s="115"/>
      <c r="E42" s="89"/>
      <c r="F42" s="115">
        <v>6.74</v>
      </c>
      <c r="G42" s="115"/>
      <c r="H42" s="115" t="s">
        <v>151</v>
      </c>
      <c r="I42" s="115">
        <v>2.3199999999999998</v>
      </c>
      <c r="J42" s="115">
        <v>7.73</v>
      </c>
      <c r="K42" s="115"/>
    </row>
    <row r="43" spans="1:11" x14ac:dyDescent="0.3">
      <c r="A43" s="107" t="s">
        <v>124</v>
      </c>
      <c r="B43" s="107" t="s">
        <v>1598</v>
      </c>
      <c r="C43" s="115" t="s">
        <v>133</v>
      </c>
      <c r="D43" s="115"/>
      <c r="E43" s="89"/>
      <c r="F43" s="115">
        <v>6.58</v>
      </c>
      <c r="G43" s="115"/>
      <c r="H43" s="115" t="s">
        <v>152</v>
      </c>
      <c r="I43" s="115">
        <v>1.1399999999999999</v>
      </c>
      <c r="J43" s="115">
        <v>3.8</v>
      </c>
      <c r="K43" s="115"/>
    </row>
    <row r="44" spans="1:11" x14ac:dyDescent="0.3">
      <c r="A44" s="107" t="s">
        <v>125</v>
      </c>
      <c r="B44" s="107" t="s">
        <v>1599</v>
      </c>
      <c r="C44" s="115" t="s">
        <v>133</v>
      </c>
      <c r="D44" s="115"/>
      <c r="E44" s="89"/>
      <c r="F44" s="115">
        <v>6.83</v>
      </c>
      <c r="G44" s="115"/>
      <c r="H44" s="115" t="s">
        <v>153</v>
      </c>
      <c r="I44" s="115">
        <v>2.65</v>
      </c>
      <c r="J44" s="115">
        <v>8.84</v>
      </c>
      <c r="K44" s="115"/>
    </row>
    <row r="45" spans="1:11" x14ac:dyDescent="0.3">
      <c r="A45" s="107" t="s">
        <v>126</v>
      </c>
      <c r="B45" s="107" t="s">
        <v>1600</v>
      </c>
      <c r="C45" s="115" t="s">
        <v>133</v>
      </c>
      <c r="D45" s="115"/>
      <c r="E45" s="89"/>
      <c r="F45" s="115">
        <v>6.67</v>
      </c>
      <c r="G45" s="115"/>
      <c r="H45" s="115" t="s">
        <v>154</v>
      </c>
      <c r="I45" s="115">
        <v>0.93</v>
      </c>
      <c r="J45" s="115">
        <v>3.09</v>
      </c>
      <c r="K45" s="115"/>
    </row>
    <row r="46" spans="1:11" x14ac:dyDescent="0.3">
      <c r="A46" s="107" t="s">
        <v>127</v>
      </c>
      <c r="B46" s="108" t="s">
        <v>1601</v>
      </c>
      <c r="C46" s="115" t="s">
        <v>133</v>
      </c>
      <c r="D46" s="115"/>
      <c r="E46" s="89"/>
      <c r="F46" s="115">
        <v>6.92</v>
      </c>
      <c r="G46" s="115"/>
      <c r="H46" s="115" t="s">
        <v>155</v>
      </c>
      <c r="I46" s="115">
        <v>1.23</v>
      </c>
      <c r="J46" s="115">
        <v>4.1100000000000003</v>
      </c>
      <c r="K46" s="115"/>
    </row>
    <row r="47" spans="1:11" x14ac:dyDescent="0.3">
      <c r="A47" s="107" t="s">
        <v>128</v>
      </c>
      <c r="B47" s="107" t="s">
        <v>1602</v>
      </c>
      <c r="C47" s="115" t="s">
        <v>133</v>
      </c>
      <c r="D47" s="115"/>
      <c r="E47" s="89"/>
      <c r="F47" s="115">
        <v>7.18</v>
      </c>
      <c r="G47" s="115"/>
      <c r="H47" s="115" t="s">
        <v>156</v>
      </c>
      <c r="I47" s="115">
        <v>0.69</v>
      </c>
      <c r="J47" s="115">
        <v>2.2999999999999998</v>
      </c>
      <c r="K47" s="115"/>
    </row>
    <row r="48" spans="1:11" x14ac:dyDescent="0.3">
      <c r="A48" s="107" t="s">
        <v>129</v>
      </c>
      <c r="B48" s="107" t="s">
        <v>1603</v>
      </c>
      <c r="C48" s="115" t="s">
        <v>133</v>
      </c>
      <c r="D48" s="115"/>
      <c r="E48" s="89"/>
      <c r="F48" s="115">
        <v>7.11</v>
      </c>
      <c r="G48" s="115"/>
      <c r="H48" s="115" t="s">
        <v>157</v>
      </c>
      <c r="I48" s="115">
        <v>2.58</v>
      </c>
      <c r="J48" s="115">
        <v>8.6</v>
      </c>
      <c r="K48" s="115"/>
    </row>
    <row r="49" spans="1:11" x14ac:dyDescent="0.3">
      <c r="A49" s="107" t="s">
        <v>130</v>
      </c>
      <c r="B49" s="107" t="s">
        <v>1604</v>
      </c>
      <c r="C49" s="115" t="s">
        <v>133</v>
      </c>
      <c r="D49" s="115"/>
      <c r="E49" s="89"/>
      <c r="F49" s="115">
        <v>7.36</v>
      </c>
      <c r="G49" s="115"/>
      <c r="H49" s="115" t="s">
        <v>158</v>
      </c>
      <c r="I49" s="115">
        <v>1.19</v>
      </c>
      <c r="J49" s="115">
        <v>3.96</v>
      </c>
      <c r="K49" s="115"/>
    </row>
    <row r="50" spans="1:11" x14ac:dyDescent="0.3">
      <c r="A50" s="107" t="s">
        <v>131</v>
      </c>
      <c r="B50" s="107" t="s">
        <v>1605</v>
      </c>
      <c r="C50" s="115" t="s">
        <v>133</v>
      </c>
      <c r="D50" s="115"/>
      <c r="E50" s="89"/>
      <c r="F50" s="115">
        <v>7.17</v>
      </c>
      <c r="G50" s="115"/>
      <c r="H50" s="115" t="s">
        <v>159</v>
      </c>
      <c r="I50" s="115">
        <v>1.08</v>
      </c>
      <c r="J50" s="115">
        <v>3.59</v>
      </c>
      <c r="K50" s="115"/>
    </row>
    <row r="51" spans="1:11" s="53" customFormat="1" ht="15" thickBot="1" x14ac:dyDescent="0.35">
      <c r="A51" s="109" t="s">
        <v>132</v>
      </c>
      <c r="B51" s="109" t="s">
        <v>1606</v>
      </c>
      <c r="C51" s="117" t="s">
        <v>133</v>
      </c>
      <c r="D51" s="117"/>
      <c r="E51" s="91"/>
      <c r="F51" s="117">
        <v>7.8</v>
      </c>
      <c r="G51" s="117"/>
      <c r="H51" s="117" t="s">
        <v>160</v>
      </c>
      <c r="I51" s="117">
        <v>2.42</v>
      </c>
      <c r="J51" s="117">
        <v>8.08</v>
      </c>
      <c r="K51" s="117"/>
    </row>
    <row r="52" spans="1:11" ht="14.55" customHeight="1" x14ac:dyDescent="0.3">
      <c r="A52" s="110" t="s">
        <v>1668</v>
      </c>
      <c r="B52" s="110" t="s">
        <v>1612</v>
      </c>
      <c r="C52" s="115" t="s">
        <v>135</v>
      </c>
      <c r="D52" s="115"/>
      <c r="E52" s="89"/>
      <c r="F52" s="123"/>
      <c r="G52" s="123"/>
      <c r="H52" s="127"/>
      <c r="I52" s="127"/>
      <c r="J52" s="123">
        <v>0.14000000000000001</v>
      </c>
      <c r="K52" s="526"/>
    </row>
    <row r="53" spans="1:11" x14ac:dyDescent="0.3">
      <c r="A53" s="110" t="s">
        <v>1669</v>
      </c>
      <c r="B53" s="110" t="s">
        <v>1613</v>
      </c>
      <c r="C53" s="115" t="s">
        <v>135</v>
      </c>
      <c r="D53" s="115"/>
      <c r="E53" s="89"/>
      <c r="F53" s="123"/>
      <c r="G53" s="123"/>
      <c r="H53" s="127"/>
      <c r="I53" s="127"/>
      <c r="J53" s="123">
        <v>0.14000000000000001</v>
      </c>
      <c r="K53" s="527"/>
    </row>
    <row r="54" spans="1:11" x14ac:dyDescent="0.3">
      <c r="A54" s="110" t="s">
        <v>1670</v>
      </c>
      <c r="B54" s="110" t="s">
        <v>1614</v>
      </c>
      <c r="C54" s="118" t="s">
        <v>135</v>
      </c>
      <c r="D54" s="118"/>
      <c r="E54" s="122"/>
      <c r="F54" s="125"/>
      <c r="G54" s="125"/>
      <c r="H54" s="158"/>
      <c r="I54" s="158"/>
      <c r="J54" s="125">
        <v>0.14000000000000001</v>
      </c>
      <c r="K54" s="528"/>
    </row>
  </sheetData>
  <conditionalFormatting sqref="A2:D32">
    <cfRule type="cellIs" dxfId="44" priority="1" operator="equal">
      <formula>" "</formula>
    </cfRule>
    <cfRule type="cellIs" dxfId="43" priority="2" operator="equal">
      <formula>"  "</formula>
    </cfRule>
  </conditionalFormatting>
  <conditionalFormatting sqref="A35:D35">
    <cfRule type="cellIs" dxfId="42" priority="15" operator="equal">
      <formula>" "</formula>
    </cfRule>
    <cfRule type="cellIs" dxfId="41" priority="16" operator="equal">
      <formula>"  "</formula>
    </cfRule>
  </conditionalFormatting>
  <conditionalFormatting sqref="A38:D38">
    <cfRule type="cellIs" dxfId="40" priority="13" operator="equal">
      <formula>" "</formula>
    </cfRule>
    <cfRule type="cellIs" dxfId="39" priority="14" operator="equal">
      <formula>"  "</formula>
    </cfRule>
  </conditionalFormatting>
  <conditionalFormatting sqref="A40:D40">
    <cfRule type="cellIs" dxfId="38" priority="17" operator="equal">
      <formula>" "</formula>
    </cfRule>
    <cfRule type="cellIs" dxfId="37" priority="18" operator="equal">
      <formula>"  "</formula>
    </cfRule>
  </conditionalFormatting>
  <conditionalFormatting sqref="E12:E23">
    <cfRule type="cellIs" dxfId="36" priority="47" operator="equal">
      <formula>" "</formula>
    </cfRule>
    <cfRule type="cellIs" dxfId="35" priority="48" operator="equal">
      <formula>"  "</formula>
    </cfRule>
  </conditionalFormatting>
  <conditionalFormatting sqref="F2:F32">
    <cfRule type="cellIs" dxfId="34" priority="21" operator="equal">
      <formula>" "</formula>
    </cfRule>
    <cfRule type="cellIs" dxfId="33" priority="22" operator="equal">
      <formula>"  "</formula>
    </cfRule>
  </conditionalFormatting>
  <conditionalFormatting sqref="G24:G32">
    <cfRule type="cellIs" dxfId="32" priority="19" operator="equal">
      <formula>" "</formula>
    </cfRule>
    <cfRule type="cellIs" dxfId="31" priority="20" operator="equal">
      <formula>"  "</formula>
    </cfRule>
  </conditionalFormatting>
  <conditionalFormatting sqref="G12:H23">
    <cfRule type="cellIs" dxfId="30" priority="83" operator="equal">
      <formula>" "</formula>
    </cfRule>
    <cfRule type="cellIs" dxfId="29" priority="84" operator="equal">
      <formula>"  "</formula>
    </cfRule>
  </conditionalFormatting>
  <conditionalFormatting sqref="I18:I20">
    <cfRule type="cellIs" dxfId="28" priority="119" operator="equal">
      <formula>" "</formula>
    </cfRule>
    <cfRule type="cellIs" dxfId="27" priority="120" operator="equal">
      <formula>"  "</formula>
    </cfRule>
  </conditionalFormatting>
  <conditionalFormatting sqref="I31:I32">
    <cfRule type="cellIs" dxfId="26" priority="109" operator="equal">
      <formula>" "</formula>
    </cfRule>
    <cfRule type="cellIs" dxfId="25" priority="110" operator="equal">
      <formula>"  "</formula>
    </cfRule>
  </conditionalFormatting>
  <conditionalFormatting sqref="K12:K20 K22:K23 E25:E32 H25:H32 K25:K34 E33:J34 E36:H37 K36:K37 E39:H39 K39 E41:H41 K41">
    <cfRule type="cellIs" dxfId="24" priority="127" operator="equal">
      <formula>" "</formula>
    </cfRule>
    <cfRule type="cellIs" dxfId="23" priority="128" operator="equal">
      <formula>"  "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5"/>
  <sheetViews>
    <sheetView zoomScale="80" zoomScaleNormal="80" workbookViewId="0">
      <selection activeCell="T30" sqref="T30"/>
    </sheetView>
  </sheetViews>
  <sheetFormatPr baseColWidth="10" defaultRowHeight="14.4" x14ac:dyDescent="0.3"/>
  <cols>
    <col min="2" max="2" width="20.109375" bestFit="1" customWidth="1"/>
    <col min="3" max="3" width="14.88671875" bestFit="1" customWidth="1"/>
    <col min="4" max="4" width="11.5546875" style="211"/>
    <col min="5" max="5" width="21.6640625" style="77" bestFit="1" customWidth="1"/>
    <col min="6" max="6" width="6.88671875" style="269" bestFit="1" customWidth="1"/>
    <col min="7" max="7" width="6" style="269" customWidth="1"/>
    <col min="8" max="8" width="6.44140625" style="35" customWidth="1"/>
    <col min="9" max="9" width="8.5546875" style="35" customWidth="1"/>
    <col min="10" max="10" width="8" style="35" customWidth="1"/>
    <col min="11" max="11" width="11" style="35" bestFit="1" customWidth="1"/>
    <col min="12" max="12" width="14" style="313" bestFit="1" customWidth="1"/>
    <col min="13" max="14" width="8.33203125" style="313" bestFit="1" customWidth="1"/>
    <col min="15" max="15" width="35" bestFit="1" customWidth="1"/>
    <col min="16" max="16" width="21.33203125" customWidth="1"/>
  </cols>
  <sheetData>
    <row r="1" spans="1:16" s="300" customFormat="1" ht="29.4" thickBot="1" x14ac:dyDescent="0.35">
      <c r="A1" s="248" t="s">
        <v>893</v>
      </c>
      <c r="B1" s="267" t="s">
        <v>894</v>
      </c>
      <c r="C1" s="249" t="s">
        <v>895</v>
      </c>
      <c r="D1" s="268" t="s">
        <v>896</v>
      </c>
      <c r="E1" s="250" t="s">
        <v>897</v>
      </c>
      <c r="F1" s="369" t="s">
        <v>135</v>
      </c>
      <c r="G1" s="370" t="s">
        <v>133</v>
      </c>
      <c r="H1" s="371" t="s">
        <v>134</v>
      </c>
      <c r="I1" s="310" t="s">
        <v>975</v>
      </c>
      <c r="J1" s="345" t="s">
        <v>977</v>
      </c>
      <c r="K1" s="333" t="s">
        <v>898</v>
      </c>
      <c r="L1" s="358" t="s">
        <v>899</v>
      </c>
      <c r="M1" s="358" t="s">
        <v>900</v>
      </c>
      <c r="N1" s="334" t="s">
        <v>901</v>
      </c>
      <c r="O1" s="335" t="s">
        <v>902</v>
      </c>
      <c r="P1" s="335" t="s">
        <v>903</v>
      </c>
    </row>
    <row r="2" spans="1:16" s="236" customFormat="1" x14ac:dyDescent="0.3">
      <c r="A2" s="251" t="s">
        <v>904</v>
      </c>
      <c r="B2" s="295" t="s">
        <v>905</v>
      </c>
      <c r="C2" s="296" t="s">
        <v>906</v>
      </c>
      <c r="D2" s="297" t="s">
        <v>907</v>
      </c>
      <c r="E2" s="376" t="s">
        <v>41</v>
      </c>
      <c r="F2" s="280">
        <v>3</v>
      </c>
      <c r="G2" s="336">
        <v>4</v>
      </c>
      <c r="H2" s="281">
        <v>4</v>
      </c>
      <c r="I2" s="280">
        <v>24</v>
      </c>
      <c r="J2" s="346">
        <v>0</v>
      </c>
      <c r="K2" s="284">
        <v>1</v>
      </c>
      <c r="L2" s="359">
        <f>96/474</f>
        <v>0.20253164556962025</v>
      </c>
      <c r="M2" s="368"/>
      <c r="N2" s="311"/>
      <c r="O2" s="320" t="s">
        <v>908</v>
      </c>
      <c r="P2" s="327" t="s">
        <v>909</v>
      </c>
    </row>
    <row r="3" spans="1:16" s="237" customFormat="1" x14ac:dyDescent="0.3">
      <c r="A3" s="246" t="s">
        <v>904</v>
      </c>
      <c r="B3" s="298" t="s">
        <v>905</v>
      </c>
      <c r="C3" s="299" t="s">
        <v>906</v>
      </c>
      <c r="D3" s="257" t="s">
        <v>910</v>
      </c>
      <c r="E3" s="5" t="s">
        <v>911</v>
      </c>
      <c r="F3" s="282">
        <v>0</v>
      </c>
      <c r="G3" s="337">
        <v>0</v>
      </c>
      <c r="H3" s="304">
        <v>0</v>
      </c>
      <c r="I3" s="301">
        <v>0</v>
      </c>
      <c r="J3" s="347">
        <v>0</v>
      </c>
      <c r="K3" s="306">
        <v>1</v>
      </c>
      <c r="L3" s="360">
        <f>18/474</f>
        <v>3.7974683544303799E-2</v>
      </c>
      <c r="M3" s="360"/>
      <c r="N3" s="314"/>
      <c r="O3" s="322"/>
      <c r="P3" s="273"/>
    </row>
    <row r="4" spans="1:16" s="238" customFormat="1" x14ac:dyDescent="0.3">
      <c r="A4" s="252" t="s">
        <v>904</v>
      </c>
      <c r="B4" s="298" t="s">
        <v>905</v>
      </c>
      <c r="C4" s="299" t="s">
        <v>906</v>
      </c>
      <c r="D4" s="257" t="s">
        <v>910</v>
      </c>
      <c r="E4" s="373" t="s">
        <v>53</v>
      </c>
      <c r="F4" s="284">
        <v>2</v>
      </c>
      <c r="G4" s="338">
        <v>2</v>
      </c>
      <c r="H4" s="271">
        <v>2</v>
      </c>
      <c r="I4" s="284">
        <v>1</v>
      </c>
      <c r="J4" s="348">
        <v>0</v>
      </c>
      <c r="K4" s="284">
        <v>1</v>
      </c>
      <c r="L4" s="359">
        <f>64/474</f>
        <v>0.13502109704641349</v>
      </c>
      <c r="M4" s="368"/>
      <c r="N4" s="311"/>
      <c r="O4" s="321" t="s">
        <v>912</v>
      </c>
      <c r="P4" s="328" t="s">
        <v>913</v>
      </c>
    </row>
    <row r="5" spans="1:16" s="239" customFormat="1" x14ac:dyDescent="0.3">
      <c r="A5" s="246" t="s">
        <v>904</v>
      </c>
      <c r="B5" s="298" t="s">
        <v>905</v>
      </c>
      <c r="C5" s="299" t="s">
        <v>906</v>
      </c>
      <c r="D5" s="257" t="s">
        <v>910</v>
      </c>
      <c r="E5" s="5" t="s">
        <v>914</v>
      </c>
      <c r="F5" s="282">
        <v>0</v>
      </c>
      <c r="G5" s="337">
        <v>0</v>
      </c>
      <c r="H5" s="283">
        <v>0</v>
      </c>
      <c r="I5" s="306"/>
      <c r="J5" s="349">
        <v>0</v>
      </c>
      <c r="K5" s="306">
        <v>1</v>
      </c>
      <c r="L5" s="361">
        <f>70/474</f>
        <v>0.14767932489451477</v>
      </c>
      <c r="M5" s="360"/>
      <c r="N5" s="314"/>
      <c r="O5" s="322" t="s">
        <v>915</v>
      </c>
      <c r="P5" s="273"/>
    </row>
    <row r="6" spans="1:16" s="240" customFormat="1" x14ac:dyDescent="0.3">
      <c r="A6" s="246" t="s">
        <v>904</v>
      </c>
      <c r="B6" s="298" t="s">
        <v>905</v>
      </c>
      <c r="C6" s="299" t="s">
        <v>906</v>
      </c>
      <c r="D6" s="257" t="s">
        <v>916</v>
      </c>
      <c r="E6" s="5" t="s">
        <v>917</v>
      </c>
      <c r="F6" s="282">
        <v>0</v>
      </c>
      <c r="G6" s="337">
        <v>0</v>
      </c>
      <c r="H6" s="304">
        <v>0</v>
      </c>
      <c r="I6" s="301">
        <v>0</v>
      </c>
      <c r="J6" s="347">
        <v>0</v>
      </c>
      <c r="K6" s="306">
        <v>1</v>
      </c>
      <c r="L6" s="360">
        <f>3/474</f>
        <v>6.3291139240506328E-3</v>
      </c>
      <c r="M6" s="360"/>
      <c r="N6" s="314"/>
      <c r="O6" s="322"/>
      <c r="P6" s="273"/>
    </row>
    <row r="7" spans="1:16" s="240" customFormat="1" x14ac:dyDescent="0.3">
      <c r="A7" s="246" t="s">
        <v>904</v>
      </c>
      <c r="B7" s="298" t="s">
        <v>905</v>
      </c>
      <c r="C7" s="299" t="s">
        <v>906</v>
      </c>
      <c r="D7" s="257" t="s">
        <v>916</v>
      </c>
      <c r="E7" s="5" t="s">
        <v>916</v>
      </c>
      <c r="F7" s="282">
        <v>0</v>
      </c>
      <c r="G7" s="337">
        <v>0</v>
      </c>
      <c r="H7" s="304">
        <v>0</v>
      </c>
      <c r="I7" s="301">
        <v>0</v>
      </c>
      <c r="J7" s="347">
        <v>0</v>
      </c>
      <c r="K7" s="306">
        <v>1</v>
      </c>
      <c r="L7" s="361">
        <f>70/474</f>
        <v>0.14767932489451477</v>
      </c>
      <c r="M7" s="360"/>
      <c r="N7" s="314"/>
      <c r="O7" s="322" t="s">
        <v>918</v>
      </c>
      <c r="P7" s="273"/>
    </row>
    <row r="8" spans="1:16" s="241" customFormat="1" x14ac:dyDescent="0.3">
      <c r="A8" s="252" t="s">
        <v>904</v>
      </c>
      <c r="B8" s="298" t="s">
        <v>919</v>
      </c>
      <c r="C8" s="299" t="s">
        <v>920</v>
      </c>
      <c r="D8" s="257" t="s">
        <v>921</v>
      </c>
      <c r="E8" s="373" t="s">
        <v>44</v>
      </c>
      <c r="F8" s="285">
        <v>2</v>
      </c>
      <c r="G8" s="339">
        <v>2</v>
      </c>
      <c r="H8" s="272">
        <v>2</v>
      </c>
      <c r="I8" s="285">
        <v>7</v>
      </c>
      <c r="J8" s="350">
        <v>0</v>
      </c>
      <c r="K8" s="285">
        <v>1</v>
      </c>
      <c r="L8" s="362">
        <f>41/474</f>
        <v>8.6497890295358648E-2</v>
      </c>
      <c r="M8" s="362"/>
      <c r="N8" s="315"/>
      <c r="O8" s="325" t="s">
        <v>922</v>
      </c>
      <c r="P8" s="274" t="s">
        <v>923</v>
      </c>
    </row>
    <row r="9" spans="1:16" s="242" customFormat="1" x14ac:dyDescent="0.3">
      <c r="A9" s="246" t="s">
        <v>904</v>
      </c>
      <c r="B9" s="150" t="s">
        <v>919</v>
      </c>
      <c r="C9" s="89" t="s">
        <v>924</v>
      </c>
      <c r="D9" s="257" t="s">
        <v>925</v>
      </c>
      <c r="E9" s="5" t="s">
        <v>926</v>
      </c>
      <c r="F9" s="286">
        <v>0</v>
      </c>
      <c r="G9" s="340">
        <v>0</v>
      </c>
      <c r="H9" s="305">
        <v>0</v>
      </c>
      <c r="I9" s="302">
        <v>0</v>
      </c>
      <c r="J9" s="351">
        <v>0</v>
      </c>
      <c r="K9" s="307">
        <v>1</v>
      </c>
      <c r="L9" s="363">
        <f>170/474</f>
        <v>0.35864978902953587</v>
      </c>
      <c r="M9" s="363"/>
      <c r="N9" s="312"/>
      <c r="O9" s="323" t="s">
        <v>922</v>
      </c>
      <c r="P9" s="270"/>
    </row>
    <row r="10" spans="1:16" s="243" customFormat="1" x14ac:dyDescent="0.3">
      <c r="A10" s="246" t="s">
        <v>904</v>
      </c>
      <c r="B10" s="150" t="s">
        <v>919</v>
      </c>
      <c r="C10" s="89" t="s">
        <v>924</v>
      </c>
      <c r="D10" s="257" t="s">
        <v>925</v>
      </c>
      <c r="E10" s="5" t="s">
        <v>927</v>
      </c>
      <c r="F10" s="286">
        <v>0</v>
      </c>
      <c r="G10" s="340">
        <v>0</v>
      </c>
      <c r="H10" s="305">
        <v>0</v>
      </c>
      <c r="I10" s="302">
        <v>0</v>
      </c>
      <c r="J10" s="351">
        <v>0</v>
      </c>
      <c r="K10" s="307">
        <v>1</v>
      </c>
      <c r="L10" s="363">
        <f>2/474</f>
        <v>4.2194092827004216E-3</v>
      </c>
      <c r="M10" s="363"/>
      <c r="N10" s="312"/>
      <c r="O10" s="323"/>
      <c r="P10" s="270"/>
    </row>
    <row r="11" spans="1:16" s="244" customFormat="1" x14ac:dyDescent="0.3">
      <c r="A11" s="246" t="s">
        <v>904</v>
      </c>
      <c r="B11" s="150" t="s">
        <v>919</v>
      </c>
      <c r="C11" s="89" t="s">
        <v>924</v>
      </c>
      <c r="D11" s="257" t="s">
        <v>925</v>
      </c>
      <c r="E11" s="5" t="s">
        <v>976</v>
      </c>
      <c r="F11" s="286">
        <v>0</v>
      </c>
      <c r="G11" s="340">
        <v>0</v>
      </c>
      <c r="H11" s="305">
        <v>0</v>
      </c>
      <c r="I11" s="302">
        <v>0</v>
      </c>
      <c r="J11" s="351">
        <v>0</v>
      </c>
      <c r="K11" s="307">
        <v>1</v>
      </c>
      <c r="L11" s="363">
        <f>43/474</f>
        <v>9.0717299578059074E-2</v>
      </c>
      <c r="M11" s="363"/>
      <c r="N11" s="312"/>
      <c r="O11" s="323"/>
      <c r="P11" s="270"/>
    </row>
    <row r="12" spans="1:16" s="242" customFormat="1" x14ac:dyDescent="0.3">
      <c r="A12" s="246" t="s">
        <v>904</v>
      </c>
      <c r="B12" s="150" t="s">
        <v>919</v>
      </c>
      <c r="C12" s="89" t="s">
        <v>928</v>
      </c>
      <c r="D12" s="257" t="s">
        <v>929</v>
      </c>
      <c r="E12" s="373" t="s">
        <v>978</v>
      </c>
      <c r="F12" s="286">
        <v>4</v>
      </c>
      <c r="G12" s="340">
        <v>4</v>
      </c>
      <c r="H12" s="287">
        <v>7</v>
      </c>
      <c r="I12" s="307">
        <v>8</v>
      </c>
      <c r="J12" s="352">
        <v>1</v>
      </c>
      <c r="K12" s="307">
        <v>1</v>
      </c>
      <c r="L12" s="363">
        <f>78/474</f>
        <v>0.16455696202531644</v>
      </c>
      <c r="M12" s="363"/>
      <c r="N12" s="312"/>
      <c r="O12" s="323" t="s">
        <v>930</v>
      </c>
      <c r="P12" s="270" t="s">
        <v>913</v>
      </c>
    </row>
    <row r="13" spans="1:16" s="244" customFormat="1" ht="15" thickBot="1" x14ac:dyDescent="0.35">
      <c r="A13" s="253" t="s">
        <v>904</v>
      </c>
      <c r="B13" s="263" t="s">
        <v>919</v>
      </c>
      <c r="C13" s="91" t="s">
        <v>928</v>
      </c>
      <c r="D13" s="258" t="s">
        <v>931</v>
      </c>
      <c r="E13" s="374" t="s">
        <v>78</v>
      </c>
      <c r="F13" s="288">
        <v>0</v>
      </c>
      <c r="G13" s="341">
        <v>1</v>
      </c>
      <c r="H13" s="289">
        <v>1</v>
      </c>
      <c r="I13" s="308">
        <v>1</v>
      </c>
      <c r="J13" s="353">
        <v>0</v>
      </c>
      <c r="K13" s="307">
        <v>1</v>
      </c>
      <c r="L13" s="363">
        <f>13/474</f>
        <v>2.7426160337552744E-2</v>
      </c>
      <c r="M13" s="363"/>
      <c r="N13" s="312"/>
      <c r="O13" s="326" t="s">
        <v>915</v>
      </c>
      <c r="P13" s="275" t="s">
        <v>923</v>
      </c>
    </row>
    <row r="14" spans="1:16" x14ac:dyDescent="0.3">
      <c r="A14" s="255" t="s">
        <v>932</v>
      </c>
      <c r="B14" s="264" t="s">
        <v>933</v>
      </c>
      <c r="C14" s="61" t="s">
        <v>934</v>
      </c>
      <c r="D14" s="259" t="s">
        <v>935</v>
      </c>
      <c r="E14" s="256" t="s">
        <v>935</v>
      </c>
      <c r="F14" s="290">
        <v>0</v>
      </c>
      <c r="G14" s="143">
        <v>0</v>
      </c>
      <c r="H14" s="276">
        <v>0</v>
      </c>
      <c r="I14" s="309">
        <v>0</v>
      </c>
      <c r="J14" s="354">
        <v>0</v>
      </c>
      <c r="K14" s="217">
        <v>1</v>
      </c>
      <c r="L14" s="364"/>
      <c r="M14" s="364"/>
      <c r="N14" s="319"/>
      <c r="O14" s="230"/>
      <c r="P14" s="329"/>
    </row>
    <row r="15" spans="1:16" x14ac:dyDescent="0.3">
      <c r="A15" s="246" t="s">
        <v>932</v>
      </c>
      <c r="B15" s="150" t="s">
        <v>936</v>
      </c>
      <c r="C15" s="89" t="s">
        <v>937</v>
      </c>
      <c r="D15" s="257" t="s">
        <v>938</v>
      </c>
      <c r="E15" s="245" t="s">
        <v>974</v>
      </c>
      <c r="F15" s="290">
        <v>0</v>
      </c>
      <c r="G15" s="143">
        <v>0</v>
      </c>
      <c r="H15" s="276">
        <v>0</v>
      </c>
      <c r="I15" s="303">
        <v>0</v>
      </c>
      <c r="J15" s="355">
        <v>0</v>
      </c>
      <c r="K15" s="188">
        <v>1</v>
      </c>
      <c r="L15" s="365"/>
      <c r="M15" s="365"/>
      <c r="N15" s="316"/>
      <c r="O15" s="230"/>
      <c r="P15" s="330"/>
    </row>
    <row r="16" spans="1:16" x14ac:dyDescent="0.3">
      <c r="A16" s="54" t="s">
        <v>932</v>
      </c>
      <c r="B16" s="265" t="s">
        <v>936</v>
      </c>
      <c r="C16" s="3" t="s">
        <v>939</v>
      </c>
      <c r="D16" s="260"/>
      <c r="E16" s="245" t="s">
        <v>939</v>
      </c>
      <c r="F16" s="290">
        <v>0</v>
      </c>
      <c r="G16" s="143">
        <v>0</v>
      </c>
      <c r="H16" s="276">
        <v>0</v>
      </c>
      <c r="I16" s="303">
        <v>0</v>
      </c>
      <c r="J16" s="355">
        <v>0</v>
      </c>
      <c r="K16" s="188">
        <v>1</v>
      </c>
      <c r="L16" s="365"/>
      <c r="M16" s="365"/>
      <c r="N16" s="316"/>
      <c r="O16" s="230"/>
      <c r="P16" s="330"/>
    </row>
    <row r="17" spans="1:16" x14ac:dyDescent="0.3">
      <c r="A17" s="54" t="s">
        <v>932</v>
      </c>
      <c r="B17" s="265" t="s">
        <v>940</v>
      </c>
      <c r="C17" s="3" t="s">
        <v>941</v>
      </c>
      <c r="D17" s="260" t="s">
        <v>942</v>
      </c>
      <c r="E17" s="372" t="s">
        <v>88</v>
      </c>
      <c r="F17" s="291">
        <v>0</v>
      </c>
      <c r="G17" s="342">
        <v>1</v>
      </c>
      <c r="H17" s="277">
        <v>1</v>
      </c>
      <c r="I17" s="303">
        <v>0</v>
      </c>
      <c r="J17" s="355">
        <v>1</v>
      </c>
      <c r="K17" s="188">
        <v>1</v>
      </c>
      <c r="L17" s="365">
        <f>3/474</f>
        <v>6.3291139240506328E-3</v>
      </c>
      <c r="M17" s="365"/>
      <c r="N17" s="316"/>
      <c r="O17" s="230" t="s">
        <v>915</v>
      </c>
      <c r="P17" s="330" t="s">
        <v>913</v>
      </c>
    </row>
    <row r="18" spans="1:16" x14ac:dyDescent="0.3">
      <c r="A18" s="54" t="s">
        <v>932</v>
      </c>
      <c r="B18" s="265" t="s">
        <v>940</v>
      </c>
      <c r="C18" s="3" t="s">
        <v>941</v>
      </c>
      <c r="D18" s="260" t="s">
        <v>943</v>
      </c>
      <c r="E18" s="247" t="s">
        <v>944</v>
      </c>
      <c r="F18" s="291">
        <v>0</v>
      </c>
      <c r="G18" s="342">
        <v>0</v>
      </c>
      <c r="H18" s="276">
        <v>0</v>
      </c>
      <c r="I18" s="303">
        <v>0</v>
      </c>
      <c r="J18" s="355">
        <v>0</v>
      </c>
      <c r="K18" s="188">
        <v>1</v>
      </c>
      <c r="L18" s="365"/>
      <c r="M18" s="365"/>
      <c r="N18" s="316"/>
      <c r="O18" s="230"/>
      <c r="P18" s="330"/>
    </row>
    <row r="19" spans="1:16" x14ac:dyDescent="0.3">
      <c r="A19" s="54" t="s">
        <v>932</v>
      </c>
      <c r="B19" s="265" t="s">
        <v>940</v>
      </c>
      <c r="C19" s="3" t="s">
        <v>718</v>
      </c>
      <c r="D19" s="260" t="s">
        <v>945</v>
      </c>
      <c r="E19" s="372" t="s">
        <v>81</v>
      </c>
      <c r="F19" s="291">
        <v>4</v>
      </c>
      <c r="G19" s="342">
        <v>6</v>
      </c>
      <c r="H19" s="277">
        <v>6</v>
      </c>
      <c r="I19" s="188">
        <v>2</v>
      </c>
      <c r="J19" s="356">
        <v>5</v>
      </c>
      <c r="K19" s="188">
        <v>1</v>
      </c>
      <c r="L19" s="365">
        <f>122/474</f>
        <v>0.25738396624472576</v>
      </c>
      <c r="M19" s="365"/>
      <c r="N19" s="316"/>
      <c r="O19" s="230" t="s">
        <v>908</v>
      </c>
      <c r="P19" s="330" t="s">
        <v>923</v>
      </c>
    </row>
    <row r="20" spans="1:16" x14ac:dyDescent="0.3">
      <c r="A20" s="54" t="s">
        <v>932</v>
      </c>
      <c r="B20" s="265" t="s">
        <v>940</v>
      </c>
      <c r="C20" s="3" t="s">
        <v>718</v>
      </c>
      <c r="D20" s="260" t="s">
        <v>946</v>
      </c>
      <c r="E20" s="247" t="s">
        <v>947</v>
      </c>
      <c r="F20" s="291">
        <v>0</v>
      </c>
      <c r="G20" s="342">
        <v>0</v>
      </c>
      <c r="H20" s="276">
        <v>0</v>
      </c>
      <c r="I20" s="303">
        <v>0</v>
      </c>
      <c r="J20" s="355">
        <v>0</v>
      </c>
      <c r="K20" s="188">
        <v>1</v>
      </c>
      <c r="L20" s="365"/>
      <c r="M20" s="365"/>
      <c r="N20" s="316"/>
      <c r="O20" s="230"/>
      <c r="P20" s="330"/>
    </row>
    <row r="21" spans="1:16" x14ac:dyDescent="0.3">
      <c r="A21" s="54" t="s">
        <v>932</v>
      </c>
      <c r="B21" s="265" t="s">
        <v>948</v>
      </c>
      <c r="C21" s="3" t="s">
        <v>949</v>
      </c>
      <c r="D21" s="260" t="s">
        <v>950</v>
      </c>
      <c r="E21" s="245" t="s">
        <v>951</v>
      </c>
      <c r="F21" s="290">
        <v>0</v>
      </c>
      <c r="G21" s="143">
        <v>0</v>
      </c>
      <c r="H21" s="276">
        <v>0</v>
      </c>
      <c r="I21" s="303">
        <v>0</v>
      </c>
      <c r="J21" s="355">
        <v>0</v>
      </c>
      <c r="K21" s="188">
        <v>1</v>
      </c>
      <c r="L21" s="365"/>
      <c r="M21" s="365"/>
      <c r="N21" s="316"/>
      <c r="O21" s="230"/>
      <c r="P21" s="330"/>
    </row>
    <row r="22" spans="1:16" ht="15" thickBot="1" x14ac:dyDescent="0.35">
      <c r="A22" s="55" t="s">
        <v>932</v>
      </c>
      <c r="B22" s="266" t="s">
        <v>952</v>
      </c>
      <c r="C22" s="69"/>
      <c r="D22" s="261"/>
      <c r="E22" s="254"/>
      <c r="F22" s="293">
        <v>0</v>
      </c>
      <c r="G22" s="343">
        <v>0</v>
      </c>
      <c r="H22" s="278">
        <v>0</v>
      </c>
      <c r="I22" s="214">
        <v>0</v>
      </c>
      <c r="J22" s="357">
        <v>0</v>
      </c>
      <c r="K22" s="189">
        <v>1</v>
      </c>
      <c r="L22" s="366"/>
      <c r="M22" s="366"/>
      <c r="N22" s="318"/>
      <c r="O22" s="231"/>
      <c r="P22" s="331"/>
    </row>
    <row r="23" spans="1:16" x14ac:dyDescent="0.3">
      <c r="A23" s="54" t="s">
        <v>953</v>
      </c>
      <c r="B23" s="265" t="s">
        <v>660</v>
      </c>
      <c r="C23" s="3" t="s">
        <v>954</v>
      </c>
      <c r="D23" s="260" t="s">
        <v>955</v>
      </c>
      <c r="E23" s="372" t="s">
        <v>55</v>
      </c>
      <c r="F23" s="292">
        <v>4</v>
      </c>
      <c r="G23" s="342">
        <v>6</v>
      </c>
      <c r="H23" s="277">
        <v>6</v>
      </c>
      <c r="I23" s="188">
        <v>1</v>
      </c>
      <c r="J23" s="356">
        <v>1</v>
      </c>
      <c r="K23" s="303">
        <v>0</v>
      </c>
      <c r="L23" s="367"/>
      <c r="M23" s="367"/>
      <c r="N23" s="317"/>
      <c r="O23" s="324" t="s">
        <v>922</v>
      </c>
      <c r="P23" s="332" t="s">
        <v>913</v>
      </c>
    </row>
    <row r="24" spans="1:16" x14ac:dyDescent="0.3">
      <c r="A24" s="54" t="s">
        <v>953</v>
      </c>
      <c r="B24" s="265" t="s">
        <v>660</v>
      </c>
      <c r="C24" s="3" t="s">
        <v>956</v>
      </c>
      <c r="D24" s="260" t="s">
        <v>957</v>
      </c>
      <c r="E24" s="372" t="s">
        <v>958</v>
      </c>
      <c r="F24" s="292">
        <v>0</v>
      </c>
      <c r="G24" s="342">
        <v>0</v>
      </c>
      <c r="H24" s="276">
        <v>1</v>
      </c>
      <c r="I24" s="188">
        <v>4</v>
      </c>
      <c r="J24" s="355">
        <v>0</v>
      </c>
      <c r="K24" s="188">
        <v>1</v>
      </c>
      <c r="L24" s="365"/>
      <c r="M24" s="365"/>
      <c r="N24" s="316"/>
      <c r="O24" s="230" t="s">
        <v>959</v>
      </c>
      <c r="P24" s="330" t="s">
        <v>909</v>
      </c>
    </row>
    <row r="25" spans="1:16" x14ac:dyDescent="0.3">
      <c r="A25" s="54" t="s">
        <v>953</v>
      </c>
      <c r="B25" s="265" t="s">
        <v>660</v>
      </c>
      <c r="C25" s="3" t="s">
        <v>956</v>
      </c>
      <c r="D25" s="262" t="s">
        <v>957</v>
      </c>
      <c r="E25" s="247" t="s">
        <v>960</v>
      </c>
      <c r="F25" s="292">
        <v>0</v>
      </c>
      <c r="G25" s="342">
        <v>0</v>
      </c>
      <c r="H25" s="276">
        <v>0</v>
      </c>
      <c r="I25" s="303">
        <v>0</v>
      </c>
      <c r="J25" s="355">
        <v>0</v>
      </c>
      <c r="K25" s="188">
        <v>1</v>
      </c>
      <c r="L25" s="365">
        <f>21/474</f>
        <v>4.4303797468354431E-2</v>
      </c>
      <c r="M25" s="365"/>
      <c r="N25" s="316"/>
      <c r="O25" s="230"/>
      <c r="P25" s="330"/>
    </row>
    <row r="26" spans="1:16" x14ac:dyDescent="0.3">
      <c r="A26" s="54" t="s">
        <v>953</v>
      </c>
      <c r="B26" s="265" t="s">
        <v>660</v>
      </c>
      <c r="C26" s="3" t="s">
        <v>961</v>
      </c>
      <c r="D26" s="260" t="s">
        <v>962</v>
      </c>
      <c r="E26" s="372" t="s">
        <v>175</v>
      </c>
      <c r="F26" s="292">
        <v>0</v>
      </c>
      <c r="G26" s="342">
        <v>1</v>
      </c>
      <c r="H26" s="277">
        <v>0</v>
      </c>
      <c r="I26" s="188">
        <v>2</v>
      </c>
      <c r="J26" s="355">
        <v>0</v>
      </c>
      <c r="K26" s="188">
        <v>1</v>
      </c>
      <c r="L26" s="365"/>
      <c r="M26" s="365"/>
      <c r="N26" s="316"/>
      <c r="O26" s="230" t="s">
        <v>959</v>
      </c>
      <c r="P26" s="330" t="s">
        <v>913</v>
      </c>
    </row>
    <row r="27" spans="1:16" x14ac:dyDescent="0.3">
      <c r="A27" s="54" t="s">
        <v>953</v>
      </c>
      <c r="B27" s="265" t="s">
        <v>660</v>
      </c>
      <c r="C27" s="3" t="s">
        <v>963</v>
      </c>
      <c r="D27" s="260" t="s">
        <v>964</v>
      </c>
      <c r="E27" s="245" t="s">
        <v>965</v>
      </c>
      <c r="F27" s="140">
        <v>0</v>
      </c>
      <c r="G27" s="143">
        <v>0</v>
      </c>
      <c r="H27" s="276">
        <v>0</v>
      </c>
      <c r="I27" s="303">
        <v>0</v>
      </c>
      <c r="J27" s="355">
        <v>0</v>
      </c>
      <c r="K27" s="188">
        <v>1</v>
      </c>
      <c r="L27" s="365"/>
      <c r="M27" s="365"/>
      <c r="N27" s="316"/>
      <c r="O27" s="230"/>
      <c r="P27" s="330"/>
    </row>
    <row r="28" spans="1:16" x14ac:dyDescent="0.3">
      <c r="A28" s="54" t="s">
        <v>953</v>
      </c>
      <c r="B28" s="265" t="s">
        <v>660</v>
      </c>
      <c r="C28" s="3" t="s">
        <v>966</v>
      </c>
      <c r="D28" s="260" t="s">
        <v>967</v>
      </c>
      <c r="E28" s="372" t="s">
        <v>178</v>
      </c>
      <c r="F28" s="292">
        <v>0</v>
      </c>
      <c r="G28" s="342">
        <v>1</v>
      </c>
      <c r="H28" s="277">
        <v>0</v>
      </c>
      <c r="I28" s="188">
        <v>2</v>
      </c>
      <c r="J28" s="355">
        <v>0</v>
      </c>
      <c r="K28" s="188">
        <v>1</v>
      </c>
      <c r="L28" s="365"/>
      <c r="M28" s="365"/>
      <c r="N28" s="316"/>
      <c r="O28" s="230" t="s">
        <v>968</v>
      </c>
      <c r="P28" s="330" t="s">
        <v>909</v>
      </c>
    </row>
    <row r="29" spans="1:16" x14ac:dyDescent="0.3">
      <c r="A29" s="54" t="s">
        <v>953</v>
      </c>
      <c r="B29" s="265" t="s">
        <v>660</v>
      </c>
      <c r="C29" s="3" t="s">
        <v>954</v>
      </c>
      <c r="D29" s="260" t="s">
        <v>969</v>
      </c>
      <c r="E29" s="245" t="s">
        <v>970</v>
      </c>
      <c r="F29" s="140">
        <v>0</v>
      </c>
      <c r="G29" s="143">
        <v>0</v>
      </c>
      <c r="H29" s="276">
        <v>0</v>
      </c>
      <c r="I29" s="303">
        <v>0</v>
      </c>
      <c r="J29" s="355">
        <v>0</v>
      </c>
      <c r="K29" s="188">
        <v>1</v>
      </c>
      <c r="L29" s="365"/>
      <c r="M29" s="365"/>
      <c r="N29" s="316"/>
      <c r="O29" s="230"/>
      <c r="P29" s="330"/>
    </row>
    <row r="30" spans="1:16" x14ac:dyDescent="0.3">
      <c r="A30" s="54" t="s">
        <v>953</v>
      </c>
      <c r="B30" s="265" t="s">
        <v>660</v>
      </c>
      <c r="C30" s="3" t="s">
        <v>954</v>
      </c>
      <c r="D30" s="260" t="s">
        <v>969</v>
      </c>
      <c r="E30" s="372" t="s">
        <v>47</v>
      </c>
      <c r="F30" s="292">
        <v>3</v>
      </c>
      <c r="G30" s="342">
        <v>3</v>
      </c>
      <c r="H30" s="277">
        <v>5</v>
      </c>
      <c r="I30" s="188">
        <v>15</v>
      </c>
      <c r="J30" s="355">
        <v>0</v>
      </c>
      <c r="K30" s="188">
        <v>1</v>
      </c>
      <c r="L30" s="365"/>
      <c r="M30" s="365"/>
      <c r="N30" s="316"/>
      <c r="O30" s="230" t="s">
        <v>922</v>
      </c>
      <c r="P30" s="330" t="s">
        <v>909</v>
      </c>
    </row>
    <row r="31" spans="1:16" x14ac:dyDescent="0.3">
      <c r="A31" s="54" t="s">
        <v>953</v>
      </c>
      <c r="B31" s="265" t="s">
        <v>660</v>
      </c>
      <c r="C31" s="3" t="s">
        <v>954</v>
      </c>
      <c r="D31" s="260" t="s">
        <v>971</v>
      </c>
      <c r="E31" s="372" t="s">
        <v>173</v>
      </c>
      <c r="F31" s="292">
        <v>1</v>
      </c>
      <c r="G31" s="342">
        <v>1</v>
      </c>
      <c r="H31" s="277">
        <v>0</v>
      </c>
      <c r="I31" s="303">
        <v>0</v>
      </c>
      <c r="J31" s="355">
        <v>0</v>
      </c>
      <c r="K31" s="188">
        <v>1</v>
      </c>
      <c r="L31" s="365"/>
      <c r="M31" s="365"/>
      <c r="N31" s="316"/>
      <c r="O31" s="230" t="s">
        <v>959</v>
      </c>
      <c r="P31" s="330" t="s">
        <v>923</v>
      </c>
    </row>
    <row r="32" spans="1:16" x14ac:dyDescent="0.3">
      <c r="A32" s="54" t="s">
        <v>953</v>
      </c>
      <c r="B32" s="265" t="s">
        <v>660</v>
      </c>
      <c r="C32" s="3" t="s">
        <v>954</v>
      </c>
      <c r="D32" s="260" t="s">
        <v>972</v>
      </c>
      <c r="E32" s="372" t="s">
        <v>39</v>
      </c>
      <c r="F32" s="292">
        <v>3</v>
      </c>
      <c r="G32" s="342">
        <v>4</v>
      </c>
      <c r="H32" s="277">
        <v>3</v>
      </c>
      <c r="I32" s="188">
        <v>10</v>
      </c>
      <c r="J32" s="356">
        <v>0</v>
      </c>
      <c r="K32" s="188">
        <v>1</v>
      </c>
      <c r="L32" s="365"/>
      <c r="M32" s="365"/>
      <c r="N32" s="316"/>
      <c r="O32" s="230" t="s">
        <v>959</v>
      </c>
      <c r="P32" s="330" t="s">
        <v>909</v>
      </c>
    </row>
    <row r="33" spans="1:16" x14ac:dyDescent="0.3">
      <c r="A33" s="54" t="s">
        <v>953</v>
      </c>
      <c r="B33" s="265" t="s">
        <v>660</v>
      </c>
      <c r="C33" s="3" t="s">
        <v>954</v>
      </c>
      <c r="D33" s="260" t="s">
        <v>955</v>
      </c>
      <c r="E33" s="372" t="s">
        <v>37</v>
      </c>
      <c r="F33" s="292">
        <v>1</v>
      </c>
      <c r="G33" s="342">
        <v>3</v>
      </c>
      <c r="H33" s="277">
        <v>3</v>
      </c>
      <c r="I33" s="188">
        <v>8</v>
      </c>
      <c r="J33" s="355">
        <v>0</v>
      </c>
      <c r="K33" s="188">
        <v>1</v>
      </c>
      <c r="L33" s="365"/>
      <c r="M33" s="365"/>
      <c r="N33" s="316"/>
      <c r="O33" s="230" t="s">
        <v>922</v>
      </c>
      <c r="P33" s="330" t="s">
        <v>913</v>
      </c>
    </row>
    <row r="34" spans="1:16" ht="15" thickBot="1" x14ac:dyDescent="0.35">
      <c r="A34" s="55" t="s">
        <v>953</v>
      </c>
      <c r="B34" s="266" t="s">
        <v>660</v>
      </c>
      <c r="C34" s="69" t="s">
        <v>954</v>
      </c>
      <c r="D34" s="261" t="s">
        <v>973</v>
      </c>
      <c r="E34" s="375" t="s">
        <v>49</v>
      </c>
      <c r="F34" s="294">
        <v>2</v>
      </c>
      <c r="G34" s="344">
        <v>5</v>
      </c>
      <c r="H34" s="279">
        <v>4</v>
      </c>
      <c r="I34" s="189">
        <v>17</v>
      </c>
      <c r="J34" s="357">
        <v>0</v>
      </c>
      <c r="K34" s="189">
        <v>1</v>
      </c>
      <c r="L34" s="366"/>
      <c r="M34" s="366"/>
      <c r="N34" s="318"/>
      <c r="O34" s="231" t="s">
        <v>922</v>
      </c>
      <c r="P34" s="331" t="s">
        <v>909</v>
      </c>
    </row>
    <row r="35" spans="1:16" x14ac:dyDescent="0.3">
      <c r="E35" s="13"/>
      <c r="F35" s="13"/>
      <c r="G35" s="13"/>
    </row>
  </sheetData>
  <conditionalFormatting sqref="A2:P34">
    <cfRule type="cellIs" dxfId="22" priority="3" operator="equal">
      <formula>0</formula>
    </cfRule>
    <cfRule type="containsBlanks" dxfId="21" priority="4">
      <formula>LEN(TRIM(A2))=0</formula>
    </cfRule>
  </conditionalFormatting>
  <conditionalFormatting sqref="F2:K34">
    <cfRule type="cellIs" dxfId="20" priority="2" operator="greaterThan">
      <formula>0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6"/>
  <sheetViews>
    <sheetView topLeftCell="A19" zoomScale="60" zoomScaleNormal="60" workbookViewId="0">
      <selection activeCell="A46" sqref="A46"/>
    </sheetView>
  </sheetViews>
  <sheetFormatPr baseColWidth="10" defaultColWidth="11.5546875" defaultRowHeight="14.4" x14ac:dyDescent="0.3"/>
  <cols>
    <col min="1" max="1" width="17.6640625" style="12" customWidth="1"/>
    <col min="2" max="2" width="12.6640625" style="12" customWidth="1"/>
    <col min="3" max="3" width="27.109375" style="12" customWidth="1"/>
    <col min="4" max="16384" width="11.5546875" style="12"/>
  </cols>
  <sheetData>
    <row r="1" spans="1:4" ht="30" x14ac:dyDescent="0.7">
      <c r="A1" s="474" t="s">
        <v>1490</v>
      </c>
    </row>
    <row r="3" spans="1:4" x14ac:dyDescent="0.3">
      <c r="A3" s="12" t="s">
        <v>1491</v>
      </c>
    </row>
    <row r="4" spans="1:4" x14ac:dyDescent="0.3">
      <c r="A4" s="12" t="s">
        <v>1492</v>
      </c>
    </row>
    <row r="6" spans="1:4" ht="18" x14ac:dyDescent="0.35">
      <c r="A6" s="411" t="s">
        <v>1297</v>
      </c>
      <c r="B6" s="412"/>
      <c r="C6" s="412"/>
    </row>
    <row r="8" spans="1:4" ht="15" thickBot="1" x14ac:dyDescent="0.35">
      <c r="A8" s="413" t="s">
        <v>1298</v>
      </c>
      <c r="B8" s="413" t="s">
        <v>1299</v>
      </c>
      <c r="C8" s="413" t="s">
        <v>1300</v>
      </c>
    </row>
    <row r="9" spans="1:4" ht="16.2" thickBot="1" x14ac:dyDescent="0.35">
      <c r="A9" s="414" t="s">
        <v>1301</v>
      </c>
      <c r="B9" s="12" t="s">
        <v>1302</v>
      </c>
      <c r="C9" s="415" t="s">
        <v>1303</v>
      </c>
    </row>
    <row r="10" spans="1:4" ht="15.6" x14ac:dyDescent="0.3">
      <c r="A10" s="416" t="s">
        <v>1304</v>
      </c>
      <c r="B10" s="12" t="s">
        <v>1302</v>
      </c>
      <c r="C10" s="415" t="s">
        <v>1305</v>
      </c>
    </row>
    <row r="11" spans="1:4" ht="15.6" x14ac:dyDescent="0.3">
      <c r="B11" s="417"/>
      <c r="D11" s="415"/>
    </row>
    <row r="12" spans="1:4" ht="18" x14ac:dyDescent="0.35">
      <c r="A12" s="411" t="s">
        <v>1306</v>
      </c>
      <c r="B12" s="418"/>
      <c r="C12" s="418"/>
      <c r="D12" s="418"/>
    </row>
    <row r="13" spans="1:4" ht="18" x14ac:dyDescent="0.35">
      <c r="A13" s="419"/>
    </row>
    <row r="14" spans="1:4" ht="18.600000000000001" thickBot="1" x14ac:dyDescent="0.4">
      <c r="A14" s="419"/>
    </row>
    <row r="15" spans="1:4" s="6" customFormat="1" ht="15.6" x14ac:dyDescent="0.3">
      <c r="A15" s="416" t="s">
        <v>1307</v>
      </c>
      <c r="B15" s="420"/>
    </row>
    <row r="16" spans="1:4" s="6" customFormat="1" ht="15.6" x14ac:dyDescent="0.3">
      <c r="A16" s="417"/>
    </row>
    <row r="17" spans="1:13" s="421" customFormat="1" ht="15.6" x14ac:dyDescent="0.3">
      <c r="A17" s="70" t="s">
        <v>1308</v>
      </c>
    </row>
    <row r="18" spans="1:13" s="421" customFormat="1" x14ac:dyDescent="0.3">
      <c r="A18" s="63">
        <v>1</v>
      </c>
      <c r="B18" s="421" t="s">
        <v>1309</v>
      </c>
      <c r="D18" s="422" t="s">
        <v>1310</v>
      </c>
      <c r="E18" s="422" t="s">
        <v>1311</v>
      </c>
      <c r="F18" s="422" t="s">
        <v>1312</v>
      </c>
      <c r="G18" s="422" t="s">
        <v>1313</v>
      </c>
      <c r="H18" s="422" t="s">
        <v>1314</v>
      </c>
      <c r="I18" s="423" t="s">
        <v>1315</v>
      </c>
      <c r="J18" s="423" t="s">
        <v>1316</v>
      </c>
      <c r="K18" s="423" t="s">
        <v>1317</v>
      </c>
      <c r="L18" s="423" t="s">
        <v>1318</v>
      </c>
      <c r="M18" s="423" t="s">
        <v>1319</v>
      </c>
    </row>
    <row r="19" spans="1:13" s="421" customFormat="1" x14ac:dyDescent="0.3">
      <c r="A19" s="63">
        <v>2</v>
      </c>
      <c r="B19" s="421" t="s">
        <v>1320</v>
      </c>
      <c r="D19" s="422" t="s">
        <v>1310</v>
      </c>
      <c r="E19" s="422" t="s">
        <v>1311</v>
      </c>
      <c r="F19" s="422" t="s">
        <v>1312</v>
      </c>
      <c r="G19" s="422" t="s">
        <v>1313</v>
      </c>
      <c r="H19" s="422" t="s">
        <v>1314</v>
      </c>
      <c r="I19" s="423" t="s">
        <v>1315</v>
      </c>
      <c r="J19" s="423" t="s">
        <v>1316</v>
      </c>
      <c r="K19" s="423" t="s">
        <v>1317</v>
      </c>
      <c r="L19" s="423" t="s">
        <v>1318</v>
      </c>
      <c r="M19" s="423" t="s">
        <v>1319</v>
      </c>
    </row>
    <row r="20" spans="1:13" s="421" customFormat="1" x14ac:dyDescent="0.3">
      <c r="A20" s="63">
        <v>3</v>
      </c>
      <c r="B20" s="421" t="s">
        <v>1321</v>
      </c>
      <c r="D20" s="422" t="s">
        <v>1322</v>
      </c>
      <c r="E20" s="422" t="s">
        <v>1323</v>
      </c>
      <c r="F20" s="422" t="s">
        <v>1324</v>
      </c>
      <c r="G20" s="422" t="s">
        <v>1325</v>
      </c>
      <c r="H20" s="422" t="s">
        <v>1326</v>
      </c>
    </row>
    <row r="21" spans="1:13" s="421" customFormat="1" x14ac:dyDescent="0.3">
      <c r="A21" s="63">
        <v>4</v>
      </c>
      <c r="B21" s="421" t="s">
        <v>1327</v>
      </c>
      <c r="D21" s="424" t="s">
        <v>1328</v>
      </c>
      <c r="E21" s="424" t="s">
        <v>1329</v>
      </c>
      <c r="F21" s="424" t="s">
        <v>1330</v>
      </c>
      <c r="G21" s="424" t="s">
        <v>1331</v>
      </c>
      <c r="H21" s="65"/>
    </row>
    <row r="22" spans="1:13" s="421" customFormat="1" x14ac:dyDescent="0.3">
      <c r="A22" s="63">
        <v>5</v>
      </c>
      <c r="B22" s="421" t="s">
        <v>1332</v>
      </c>
      <c r="D22" s="422" t="s">
        <v>1333</v>
      </c>
      <c r="E22" s="422" t="s">
        <v>1334</v>
      </c>
      <c r="F22" s="422" t="s">
        <v>1335</v>
      </c>
      <c r="G22" s="422" t="s">
        <v>1336</v>
      </c>
      <c r="H22" s="422" t="s">
        <v>1337</v>
      </c>
    </row>
    <row r="23" spans="1:13" s="421" customFormat="1" ht="15" thickBot="1" x14ac:dyDescent="0.35">
      <c r="A23" s="63"/>
      <c r="D23" s="425"/>
      <c r="E23" s="425"/>
      <c r="F23" s="425"/>
      <c r="G23" s="425"/>
      <c r="H23" s="425"/>
    </row>
    <row r="24" spans="1:13" s="421" customFormat="1" ht="16.2" thickBot="1" x14ac:dyDescent="0.35">
      <c r="A24" s="414" t="s">
        <v>1338</v>
      </c>
      <c r="B24" s="426"/>
      <c r="D24" s="425"/>
      <c r="E24" s="425"/>
      <c r="F24" s="425"/>
      <c r="G24" s="425"/>
      <c r="H24" s="425"/>
    </row>
    <row r="25" spans="1:13" s="421" customFormat="1" ht="15.6" x14ac:dyDescent="0.3">
      <c r="A25" s="427"/>
      <c r="B25" s="543" t="s">
        <v>1339</v>
      </c>
      <c r="C25" s="543"/>
      <c r="D25" s="425"/>
      <c r="E25" s="425"/>
      <c r="F25" s="425"/>
      <c r="G25" s="425"/>
      <c r="H25" s="425"/>
    </row>
    <row r="26" spans="1:13" ht="16.2" thickBot="1" x14ac:dyDescent="0.35">
      <c r="A26" s="428" t="s">
        <v>1338</v>
      </c>
      <c r="B26" s="429" t="s">
        <v>1340</v>
      </c>
      <c r="C26" s="430" t="s">
        <v>1341</v>
      </c>
    </row>
    <row r="27" spans="1:13" x14ac:dyDescent="0.3">
      <c r="B27" s="429" t="s">
        <v>221</v>
      </c>
      <c r="C27" s="430" t="s">
        <v>1342</v>
      </c>
    </row>
    <row r="28" spans="1:13" ht="28.8" x14ac:dyDescent="0.3">
      <c r="B28" s="429" t="s">
        <v>1343</v>
      </c>
      <c r="C28" s="430" t="s">
        <v>1344</v>
      </c>
    </row>
    <row r="29" spans="1:13" ht="28.8" x14ac:dyDescent="0.3">
      <c r="B29" s="429" t="s">
        <v>1345</v>
      </c>
      <c r="C29" s="430" t="s">
        <v>1346</v>
      </c>
    </row>
    <row r="30" spans="1:13" ht="43.2" x14ac:dyDescent="0.3">
      <c r="B30" s="429" t="s">
        <v>1347</v>
      </c>
      <c r="C30" s="430" t="s">
        <v>1348</v>
      </c>
    </row>
    <row r="31" spans="1:13" ht="28.8" x14ac:dyDescent="0.3">
      <c r="B31" s="429" t="s">
        <v>1349</v>
      </c>
      <c r="C31" s="430" t="s">
        <v>1350</v>
      </c>
    </row>
    <row r="32" spans="1:13" x14ac:dyDescent="0.3">
      <c r="B32" s="429" t="s">
        <v>1351</v>
      </c>
      <c r="C32" s="431"/>
    </row>
    <row r="33" spans="1:4" x14ac:dyDescent="0.3">
      <c r="B33" s="429" t="s">
        <v>1352</v>
      </c>
      <c r="C33" s="431"/>
    </row>
    <row r="35" spans="1:4" ht="15" thickBot="1" x14ac:dyDescent="0.35"/>
    <row r="36" spans="1:4" ht="16.2" thickBot="1" x14ac:dyDescent="0.35">
      <c r="A36" s="414" t="s">
        <v>1353</v>
      </c>
      <c r="B36" s="544" t="s">
        <v>1354</v>
      </c>
      <c r="C36" s="545"/>
    </row>
    <row r="37" spans="1:4" ht="16.2" thickBot="1" x14ac:dyDescent="0.35">
      <c r="A37" s="432" t="s">
        <v>1355</v>
      </c>
      <c r="B37" s="542" t="s">
        <v>1356</v>
      </c>
      <c r="C37" s="542"/>
      <c r="D37" s="433" t="s">
        <v>1357</v>
      </c>
    </row>
    <row r="38" spans="1:4" ht="16.2" thickBot="1" x14ac:dyDescent="0.35">
      <c r="A38" s="432" t="s">
        <v>1358</v>
      </c>
      <c r="B38" s="542" t="s">
        <v>1359</v>
      </c>
      <c r="C38" s="542"/>
    </row>
    <row r="39" spans="1:4" ht="16.2" thickBot="1" x14ac:dyDescent="0.35">
      <c r="A39" s="432" t="s">
        <v>1360</v>
      </c>
      <c r="B39" s="542" t="s">
        <v>1361</v>
      </c>
      <c r="C39" s="542"/>
    </row>
    <row r="40" spans="1:4" ht="16.2" thickBot="1" x14ac:dyDescent="0.35">
      <c r="A40" s="432" t="s">
        <v>1362</v>
      </c>
      <c r="B40" s="546" t="s">
        <v>1363</v>
      </c>
      <c r="C40" s="546"/>
    </row>
    <row r="41" spans="1:4" ht="16.2" thickBot="1" x14ac:dyDescent="0.35">
      <c r="A41" s="432" t="s">
        <v>1364</v>
      </c>
      <c r="B41" s="542" t="s">
        <v>1365</v>
      </c>
      <c r="C41" s="542"/>
    </row>
    <row r="44" spans="1:4" ht="23.4" x14ac:dyDescent="0.45">
      <c r="A44" s="476" t="s">
        <v>1493</v>
      </c>
      <c r="B44" s="475"/>
      <c r="C44" s="418"/>
    </row>
    <row r="46" spans="1:4" x14ac:dyDescent="0.3">
      <c r="A46" s="12" t="s">
        <v>1494</v>
      </c>
    </row>
  </sheetData>
  <mergeCells count="7">
    <mergeCell ref="B41:C41"/>
    <mergeCell ref="B25:C25"/>
    <mergeCell ref="B36:C36"/>
    <mergeCell ref="B37:C37"/>
    <mergeCell ref="B38:C38"/>
    <mergeCell ref="B39:C39"/>
    <mergeCell ref="B40:C40"/>
  </mergeCells>
  <pageMargins left="0.7" right="0.7" top="0.75" bottom="0.75" header="0.3" footer="0.3"/>
  <pageSetup paperSize="9" orientation="portrait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D25"/>
  <sheetViews>
    <sheetView zoomScaleNormal="100" workbookViewId="0">
      <pane xSplit="5" topLeftCell="V1" activePane="topRight" state="frozen"/>
      <selection pane="topRight" activeCell="Z30" sqref="Z30"/>
    </sheetView>
  </sheetViews>
  <sheetFormatPr baseColWidth="10" defaultColWidth="11.44140625" defaultRowHeight="14.4" x14ac:dyDescent="0.3"/>
  <cols>
    <col min="1" max="2" width="11.88671875" style="513" bestFit="1" customWidth="1"/>
    <col min="3" max="3" width="14.88671875" style="513" bestFit="1" customWidth="1"/>
    <col min="4" max="4" width="10.33203125" style="513" bestFit="1" customWidth="1"/>
    <col min="5" max="5" width="10.33203125" style="513" customWidth="1"/>
    <col min="6" max="6" width="16.88671875" style="513" bestFit="1" customWidth="1"/>
    <col min="7" max="7" width="13" style="513" bestFit="1" customWidth="1"/>
    <col min="8" max="8" width="12" style="513" bestFit="1" customWidth="1"/>
    <col min="9" max="9" width="11.6640625" style="513" bestFit="1" customWidth="1"/>
    <col min="10" max="10" width="11.44140625" style="513" bestFit="1" customWidth="1"/>
    <col min="11" max="11" width="11.44140625" style="52"/>
    <col min="12" max="29" width="11.44140625" style="518" customWidth="1"/>
    <col min="30" max="32" width="11.44140625" style="513"/>
    <col min="33" max="34" width="11.44140625" style="52"/>
    <col min="35" max="45" width="11.44140625" style="513"/>
    <col min="46" max="46" width="11.44140625" style="64"/>
    <col min="47" max="51" width="11.44140625" style="513"/>
    <col min="52" max="52" width="11.44140625" style="518" customWidth="1"/>
    <col min="53" max="65" width="11.44140625" style="518"/>
    <col min="66" max="66" width="14.44140625" style="513" bestFit="1" customWidth="1"/>
    <col min="67" max="67" width="11.44140625" style="513"/>
    <col min="68" max="70" width="11.44140625" style="518"/>
    <col min="71" max="72" width="11.44140625" style="7"/>
    <col min="73" max="82" width="11.44140625" style="518"/>
    <col min="83" max="16384" width="11.44140625" style="513"/>
  </cols>
  <sheetData>
    <row r="1" spans="1:82" s="140" customFormat="1" x14ac:dyDescent="0.3">
      <c r="A1" s="64" t="s">
        <v>187</v>
      </c>
      <c r="B1" s="64" t="s">
        <v>188</v>
      </c>
      <c r="C1" s="140" t="s">
        <v>0</v>
      </c>
      <c r="D1" s="140" t="s">
        <v>1</v>
      </c>
      <c r="E1" s="140" t="s">
        <v>1523</v>
      </c>
      <c r="F1" s="140" t="s">
        <v>191</v>
      </c>
      <c r="G1" s="140" t="s">
        <v>461</v>
      </c>
      <c r="H1" s="140" t="s">
        <v>460</v>
      </c>
      <c r="I1" s="140" t="s">
        <v>1695</v>
      </c>
      <c r="J1" s="140" t="s">
        <v>1696</v>
      </c>
      <c r="K1" s="140" t="s">
        <v>1705</v>
      </c>
      <c r="L1" s="7" t="s">
        <v>140</v>
      </c>
      <c r="M1" s="7" t="s">
        <v>1704</v>
      </c>
      <c r="N1" s="7" t="s">
        <v>1681</v>
      </c>
      <c r="O1" s="7" t="s">
        <v>141</v>
      </c>
      <c r="P1" s="7" t="s">
        <v>142</v>
      </c>
      <c r="Q1" s="7" t="s">
        <v>1682</v>
      </c>
      <c r="R1" s="7" t="s">
        <v>1683</v>
      </c>
      <c r="S1" s="140" t="s">
        <v>1712</v>
      </c>
      <c r="T1" s="140" t="s">
        <v>1685</v>
      </c>
      <c r="U1" s="140" t="s">
        <v>1686</v>
      </c>
      <c r="V1" s="140" t="s">
        <v>1687</v>
      </c>
      <c r="W1" s="140" t="s">
        <v>1688</v>
      </c>
      <c r="X1" s="140" t="s">
        <v>1689</v>
      </c>
      <c r="Y1" s="7" t="s">
        <v>1690</v>
      </c>
      <c r="Z1" s="7" t="s">
        <v>1691</v>
      </c>
      <c r="AA1" s="7" t="s">
        <v>1692</v>
      </c>
      <c r="AB1" s="7" t="s">
        <v>1693</v>
      </c>
      <c r="AC1" s="7" t="s">
        <v>1694</v>
      </c>
      <c r="AD1" s="148" t="s">
        <v>1697</v>
      </c>
      <c r="AE1" s="148" t="s">
        <v>1698</v>
      </c>
      <c r="AF1" s="148" t="s">
        <v>1699</v>
      </c>
      <c r="AG1" s="512" t="s">
        <v>1615</v>
      </c>
      <c r="AH1" s="512" t="s">
        <v>1616</v>
      </c>
      <c r="AI1" s="512" t="s">
        <v>1617</v>
      </c>
      <c r="AJ1" s="512" t="s">
        <v>1618</v>
      </c>
      <c r="AK1" s="512" t="s">
        <v>1619</v>
      </c>
      <c r="AL1" s="512" t="s">
        <v>1620</v>
      </c>
      <c r="AM1" s="512" t="s">
        <v>1621</v>
      </c>
      <c r="AN1" s="512" t="s">
        <v>1622</v>
      </c>
      <c r="AO1" s="512" t="s">
        <v>1623</v>
      </c>
      <c r="AP1" s="512" t="s">
        <v>1624</v>
      </c>
      <c r="AQ1" s="512" t="s">
        <v>1625</v>
      </c>
      <c r="AR1" s="512" t="s">
        <v>1626</v>
      </c>
      <c r="AS1" s="512" t="s">
        <v>1627</v>
      </c>
      <c r="AT1" s="512" t="s">
        <v>1628</v>
      </c>
      <c r="AU1" s="512" t="s">
        <v>1629</v>
      </c>
      <c r="AV1" s="512" t="s">
        <v>1630</v>
      </c>
      <c r="AW1" s="512" t="s">
        <v>1631</v>
      </c>
      <c r="AX1" s="512" t="s">
        <v>1632</v>
      </c>
      <c r="AY1" s="512" t="s">
        <v>1633</v>
      </c>
      <c r="AZ1" s="103" t="s">
        <v>1635</v>
      </c>
      <c r="BA1" s="103" t="s">
        <v>1636</v>
      </c>
      <c r="BB1" s="103" t="s">
        <v>1637</v>
      </c>
      <c r="BC1" s="103" t="s">
        <v>1638</v>
      </c>
      <c r="BD1" s="103" t="s">
        <v>1639</v>
      </c>
      <c r="BE1" s="103" t="s">
        <v>1640</v>
      </c>
      <c r="BF1" s="103" t="s">
        <v>1641</v>
      </c>
      <c r="BG1" s="103" t="s">
        <v>1642</v>
      </c>
      <c r="BH1" s="103" t="s">
        <v>1643</v>
      </c>
      <c r="BI1" s="103" t="s">
        <v>1644</v>
      </c>
      <c r="BJ1" s="103" t="s">
        <v>1645</v>
      </c>
      <c r="BK1" s="104" t="s">
        <v>1657</v>
      </c>
      <c r="BL1" s="104" t="s">
        <v>1658</v>
      </c>
      <c r="BM1" s="103" t="s">
        <v>1646</v>
      </c>
      <c r="BN1" s="103" t="s">
        <v>1647</v>
      </c>
      <c r="BO1" s="103" t="s">
        <v>1648</v>
      </c>
      <c r="BP1" s="103" t="s">
        <v>1649</v>
      </c>
      <c r="BQ1" s="103" t="s">
        <v>1650</v>
      </c>
      <c r="BR1" s="103" t="s">
        <v>1651</v>
      </c>
      <c r="BS1" s="103" t="s">
        <v>1672</v>
      </c>
      <c r="BT1" s="103" t="s">
        <v>1671</v>
      </c>
      <c r="BU1" s="103" t="s">
        <v>1652</v>
      </c>
      <c r="BV1" s="103" t="s">
        <v>1653</v>
      </c>
      <c r="BW1" s="103" t="s">
        <v>1673</v>
      </c>
      <c r="BX1" s="103" t="s">
        <v>1674</v>
      </c>
      <c r="BY1" s="103" t="s">
        <v>1675</v>
      </c>
      <c r="BZ1" s="103" t="s">
        <v>1676</v>
      </c>
      <c r="CA1" s="103" t="s">
        <v>1677</v>
      </c>
      <c r="CB1" s="103" t="s">
        <v>1678</v>
      </c>
      <c r="CC1" s="103" t="s">
        <v>1679</v>
      </c>
      <c r="CD1" s="103" t="s">
        <v>1654</v>
      </c>
    </row>
    <row r="2" spans="1:82" x14ac:dyDescent="0.3">
      <c r="A2" s="513">
        <v>2017</v>
      </c>
      <c r="B2" s="514" t="s">
        <v>1655</v>
      </c>
      <c r="C2" s="513" t="s">
        <v>3</v>
      </c>
      <c r="D2" s="513" t="s">
        <v>2</v>
      </c>
      <c r="E2" s="513" t="s">
        <v>1524</v>
      </c>
      <c r="F2" s="515" t="s">
        <v>1499</v>
      </c>
      <c r="G2" s="15" t="s">
        <v>1528</v>
      </c>
      <c r="H2" s="15" t="s">
        <v>1551</v>
      </c>
      <c r="I2" s="16">
        <v>42906</v>
      </c>
      <c r="J2" s="149">
        <v>0.44305555555555554</v>
      </c>
      <c r="K2" s="156">
        <v>0.63811047955410805</v>
      </c>
      <c r="L2" s="156">
        <v>7.3951535966418597E-2</v>
      </c>
      <c r="M2" s="52">
        <f>K2/100*1000</f>
        <v>6.3811047955410807</v>
      </c>
      <c r="N2" s="52">
        <f t="shared" ref="N2:N5" si="0">1000*L2/100</f>
        <v>0.73951535966418602</v>
      </c>
      <c r="O2" s="52">
        <f>M2/12/1000</f>
        <v>5.3175873296175673E-4</v>
      </c>
      <c r="P2" s="52">
        <f t="shared" ref="P2:P25" si="1">N2/14/1000</f>
        <v>5.2822525690299E-5</v>
      </c>
      <c r="Q2" s="52">
        <f t="shared" ref="Q2:Q13" si="2">O2/P2</f>
        <v>10.066893356813033</v>
      </c>
      <c r="R2" s="52">
        <v>49.183333333333337</v>
      </c>
      <c r="S2" s="52">
        <v>22.403333333333336</v>
      </c>
      <c r="T2" s="52">
        <v>11.083333333333334</v>
      </c>
      <c r="U2" s="52">
        <v>6.666666666666667</v>
      </c>
      <c r="V2" s="52">
        <v>4.9066666666666663</v>
      </c>
      <c r="W2" s="52">
        <v>3.1466666666666665</v>
      </c>
      <c r="X2" s="52">
        <v>2.58</v>
      </c>
      <c r="Y2" s="52">
        <v>4.4672843299582947</v>
      </c>
      <c r="Z2" s="52">
        <f t="shared" ref="Z2:Z17" si="3">1000*Y2/100</f>
        <v>44.672843299582944</v>
      </c>
      <c r="AA2" s="52">
        <f t="shared" ref="AA2:AA17" si="4">Z2-(M2+N2)</f>
        <v>37.552223144377677</v>
      </c>
      <c r="AB2" s="516">
        <v>58.379744335138255</v>
      </c>
      <c r="AC2" s="516">
        <v>36.13605858040853</v>
      </c>
      <c r="AD2" s="513">
        <v>0</v>
      </c>
      <c r="AE2" s="513">
        <v>0</v>
      </c>
      <c r="AF2" s="513">
        <v>0.47449165707047725</v>
      </c>
      <c r="AG2" s="517">
        <v>0.62503949585083252</v>
      </c>
      <c r="AH2" s="517">
        <v>0.26644520184859266</v>
      </c>
      <c r="AI2" s="517">
        <v>0.4145984360225623</v>
      </c>
      <c r="AJ2" s="517">
        <v>0.53896051796912081</v>
      </c>
      <c r="AK2" s="517">
        <v>0.85689330821504872</v>
      </c>
      <c r="AL2" s="517">
        <v>1.2972041136219139</v>
      </c>
      <c r="AM2" s="517">
        <v>0.37670883452815684</v>
      </c>
      <c r="AN2" s="517">
        <v>1.4321662531663428</v>
      </c>
      <c r="AO2" s="517">
        <v>1.2859632923876538</v>
      </c>
      <c r="AP2" s="517">
        <v>0.28978131524763168</v>
      </c>
      <c r="AQ2" s="517">
        <v>0.3584248754915762</v>
      </c>
      <c r="AR2" s="517">
        <v>1.3600655493172973</v>
      </c>
      <c r="AS2" s="517">
        <v>1.4659635239047935</v>
      </c>
      <c r="AT2" s="28">
        <v>1.8507568413162439</v>
      </c>
      <c r="AU2" s="517">
        <v>0.10829910664129676</v>
      </c>
      <c r="AV2" s="517">
        <v>0.45629108822021663</v>
      </c>
      <c r="AW2" s="517">
        <v>0.66748263493110671</v>
      </c>
      <c r="AX2" s="517">
        <v>0.68078408989769856</v>
      </c>
      <c r="AY2" s="517">
        <v>0.18312240979691663</v>
      </c>
      <c r="AZ2" s="518">
        <v>0</v>
      </c>
      <c r="BA2" s="518">
        <v>4.9446633352553025E-2</v>
      </c>
      <c r="BB2" s="518">
        <v>0.11486868435631029</v>
      </c>
      <c r="BC2" s="518">
        <v>0.24025198604641274</v>
      </c>
      <c r="BD2" s="518">
        <v>0.31324193621327068</v>
      </c>
      <c r="BE2" s="518">
        <v>4.6353348181479015E-2</v>
      </c>
      <c r="BF2" s="518">
        <v>0.63019826419901048</v>
      </c>
      <c r="BG2" s="518">
        <v>0.65926873824678844</v>
      </c>
      <c r="BH2" s="518">
        <v>0</v>
      </c>
      <c r="BI2" s="518">
        <v>0</v>
      </c>
      <c r="BJ2" s="518">
        <v>0</v>
      </c>
      <c r="BK2" s="518">
        <v>0</v>
      </c>
      <c r="BL2" s="518">
        <v>1.3001548880170943E-2</v>
      </c>
      <c r="BM2" s="518">
        <v>0</v>
      </c>
      <c r="BN2" s="518">
        <v>0</v>
      </c>
      <c r="BO2" s="518">
        <v>4.0794714964594331E-2</v>
      </c>
      <c r="BP2" s="518">
        <v>0</v>
      </c>
      <c r="BQ2" s="518">
        <v>0</v>
      </c>
      <c r="BR2" s="518">
        <v>0</v>
      </c>
      <c r="BS2" s="518">
        <v>0.18536298817047484</v>
      </c>
      <c r="BT2" s="518">
        <v>3.1891480405346839E-2</v>
      </c>
      <c r="BU2" s="518">
        <v>2.2328746989858792E-2</v>
      </c>
      <c r="BV2" s="518">
        <v>0</v>
      </c>
      <c r="BW2" s="518">
        <v>0</v>
      </c>
      <c r="BX2" s="518">
        <v>1.4199481445470752E-2</v>
      </c>
      <c r="BY2" s="518">
        <v>0</v>
      </c>
      <c r="BZ2" s="518">
        <v>4.8284737689040638E-2</v>
      </c>
      <c r="CA2" s="518">
        <v>0</v>
      </c>
      <c r="CB2" s="518">
        <v>1.6770113772974115E-2</v>
      </c>
      <c r="CC2" s="518">
        <v>0</v>
      </c>
      <c r="CD2" s="518">
        <v>0</v>
      </c>
    </row>
    <row r="3" spans="1:82" x14ac:dyDescent="0.3">
      <c r="A3" s="513">
        <v>2017</v>
      </c>
      <c r="B3" s="514" t="s">
        <v>1655</v>
      </c>
      <c r="C3" s="513" t="s">
        <v>3</v>
      </c>
      <c r="D3" s="513" t="s">
        <v>2</v>
      </c>
      <c r="E3" s="513" t="s">
        <v>1525</v>
      </c>
      <c r="F3" s="515" t="s">
        <v>1500</v>
      </c>
      <c r="G3" s="15" t="s">
        <v>1529</v>
      </c>
      <c r="H3" s="15" t="s">
        <v>1552</v>
      </c>
      <c r="I3" s="16">
        <v>42907</v>
      </c>
      <c r="J3" s="149">
        <v>0.47916666666666669</v>
      </c>
      <c r="K3" s="156">
        <v>0.79003366260140195</v>
      </c>
      <c r="L3" s="156">
        <v>9.9729059339820694E-2</v>
      </c>
      <c r="M3" s="52">
        <f t="shared" ref="M3:M25" si="5">K3/100*1000</f>
        <v>7.9003366260140195</v>
      </c>
      <c r="N3" s="52">
        <f t="shared" si="0"/>
        <v>0.99729059339820691</v>
      </c>
      <c r="O3" s="52">
        <f t="shared" ref="O3:O13" si="6">M3/12/1000</f>
        <v>6.5836138550116831E-4</v>
      </c>
      <c r="P3" s="52">
        <f t="shared" si="1"/>
        <v>7.1235042385586216E-5</v>
      </c>
      <c r="Q3" s="52">
        <f t="shared" si="2"/>
        <v>9.2421000037810312</v>
      </c>
      <c r="R3" s="52">
        <v>84.06</v>
      </c>
      <c r="S3" s="52">
        <v>12.053333333333333</v>
      </c>
      <c r="T3" s="52">
        <v>3.2466666666666666</v>
      </c>
      <c r="U3" s="52">
        <v>0.65333333333333332</v>
      </c>
      <c r="V3" s="52">
        <v>0</v>
      </c>
      <c r="W3" s="52">
        <v>0</v>
      </c>
      <c r="X3" s="52">
        <v>0</v>
      </c>
      <c r="Y3" s="52">
        <v>10.390328282656682</v>
      </c>
      <c r="Z3" s="52">
        <f t="shared" si="3"/>
        <v>103.90328282656682</v>
      </c>
      <c r="AA3" s="52">
        <f t="shared" si="4"/>
        <v>95.005655607154594</v>
      </c>
      <c r="AB3" s="516">
        <v>74.953310485807918</v>
      </c>
      <c r="AC3" s="516">
        <v>56.188264702225339</v>
      </c>
      <c r="AD3" s="513">
        <v>0.21267521334969147</v>
      </c>
      <c r="AE3" s="513">
        <v>0.15452183469938521</v>
      </c>
      <c r="AF3" s="513">
        <v>0.37673894936231067</v>
      </c>
      <c r="AG3" s="517">
        <v>0.47051998010782287</v>
      </c>
      <c r="AH3" s="517">
        <v>0.21019843400745908</v>
      </c>
      <c r="AI3" s="517">
        <v>0.4068221732140147</v>
      </c>
      <c r="AJ3" s="517">
        <v>0.55215342510221899</v>
      </c>
      <c r="AK3" s="517">
        <v>0.90688083787537255</v>
      </c>
      <c r="AL3" s="517">
        <v>1.6432221176858097</v>
      </c>
      <c r="AM3" s="517">
        <v>0.53127219280963445</v>
      </c>
      <c r="AN3" s="517">
        <v>2.1346417763402883</v>
      </c>
      <c r="AO3" s="517">
        <v>2.1049437745637278</v>
      </c>
      <c r="AP3" s="517">
        <v>0.4850083313323299</v>
      </c>
      <c r="AQ3" s="517">
        <v>0.64730112692135777</v>
      </c>
      <c r="AR3" s="517">
        <v>2.2901439864415352</v>
      </c>
      <c r="AS3" s="517">
        <v>2.2923800994609387</v>
      </c>
      <c r="AT3" s="28">
        <v>2.9717881489219558</v>
      </c>
      <c r="AU3" s="517">
        <v>0.18411184747341547</v>
      </c>
      <c r="AV3" s="517">
        <v>0.86493698803929286</v>
      </c>
      <c r="AW3" s="517">
        <v>1.2005235885703796</v>
      </c>
      <c r="AX3" s="517">
        <v>1.0773182999116064</v>
      </c>
      <c r="AY3" s="517">
        <v>0.38096552318373239</v>
      </c>
      <c r="AZ3" s="518">
        <v>0</v>
      </c>
      <c r="BA3" s="518">
        <v>3.1782840027177302E-2</v>
      </c>
      <c r="BB3" s="518">
        <v>4.5423640417611655E-2</v>
      </c>
      <c r="BC3" s="518">
        <v>0.12945706754466077</v>
      </c>
      <c r="BD3" s="518">
        <v>5.8025674886841024E-2</v>
      </c>
      <c r="BE3" s="518">
        <v>0.10402204805787618</v>
      </c>
      <c r="BF3" s="518">
        <v>3.0646226279677325E-2</v>
      </c>
      <c r="BG3" s="518">
        <v>4.8164336500827777E-2</v>
      </c>
      <c r="BH3" s="518">
        <v>0</v>
      </c>
      <c r="BI3" s="518">
        <v>0</v>
      </c>
      <c r="BJ3" s="518">
        <v>0</v>
      </c>
      <c r="BK3" s="518">
        <v>0</v>
      </c>
      <c r="BL3" s="518">
        <v>0</v>
      </c>
      <c r="BM3" s="518">
        <v>0</v>
      </c>
      <c r="BN3" s="518">
        <v>7.8366778629460586E-3</v>
      </c>
      <c r="BO3" s="518">
        <v>5.7571125082536694E-2</v>
      </c>
      <c r="BP3" s="518">
        <v>0</v>
      </c>
      <c r="BQ3" s="518">
        <v>2.141479822773424E-2</v>
      </c>
      <c r="BR3" s="518">
        <v>0</v>
      </c>
      <c r="BS3" s="518">
        <v>0.65136963033139095</v>
      </c>
      <c r="BT3" s="518">
        <v>5.0960296270777722E-2</v>
      </c>
      <c r="BU3" s="518">
        <v>2.3291131972554766E-2</v>
      </c>
      <c r="BV3" s="518">
        <v>0</v>
      </c>
      <c r="BW3" s="518">
        <v>0</v>
      </c>
      <c r="BX3" s="518">
        <v>4.917104469899234E-2</v>
      </c>
      <c r="BY3" s="518">
        <v>0</v>
      </c>
      <c r="BZ3" s="518">
        <v>0</v>
      </c>
      <c r="CA3" s="518">
        <v>0</v>
      </c>
      <c r="CB3" s="518">
        <v>0</v>
      </c>
      <c r="CC3" s="518">
        <v>0</v>
      </c>
      <c r="CD3" s="518">
        <v>0</v>
      </c>
    </row>
    <row r="4" spans="1:82" x14ac:dyDescent="0.3">
      <c r="A4" s="513">
        <v>2017</v>
      </c>
      <c r="B4" s="514" t="s">
        <v>1655</v>
      </c>
      <c r="C4" s="513" t="s">
        <v>3</v>
      </c>
      <c r="D4" s="513" t="s">
        <v>2</v>
      </c>
      <c r="E4" s="513" t="s">
        <v>168</v>
      </c>
      <c r="F4" s="515" t="s">
        <v>1501</v>
      </c>
      <c r="G4" s="15" t="s">
        <v>1530</v>
      </c>
      <c r="H4" s="15" t="s">
        <v>1553</v>
      </c>
      <c r="I4" s="16">
        <v>42906</v>
      </c>
      <c r="J4" s="149">
        <v>0.32847222222222222</v>
      </c>
      <c r="K4" s="156">
        <v>0.82709011643949004</v>
      </c>
      <c r="L4" s="156">
        <v>9.11429116580805E-2</v>
      </c>
      <c r="M4" s="52">
        <f t="shared" si="5"/>
        <v>8.2709011643949015</v>
      </c>
      <c r="N4" s="52">
        <f t="shared" si="0"/>
        <v>0.91142911658080494</v>
      </c>
      <c r="O4" s="52">
        <f t="shared" si="6"/>
        <v>6.8924176369957509E-4</v>
      </c>
      <c r="P4" s="52">
        <f t="shared" si="1"/>
        <v>6.5102079755771785E-5</v>
      </c>
      <c r="Q4" s="52">
        <f t="shared" si="2"/>
        <v>10.587092859171964</v>
      </c>
      <c r="R4" s="52">
        <v>21.16333333333333</v>
      </c>
      <c r="S4" s="52">
        <v>10.96</v>
      </c>
      <c r="T4" s="52">
        <v>45.536666666666669</v>
      </c>
      <c r="U4" s="52">
        <v>19.186666666666667</v>
      </c>
      <c r="V4" s="52">
        <v>0.56000000000000005</v>
      </c>
      <c r="W4" s="52">
        <v>0.88333333333333341</v>
      </c>
      <c r="X4" s="52">
        <v>1.6433333333333333</v>
      </c>
      <c r="Y4" s="52">
        <v>2.6473600587766688</v>
      </c>
      <c r="Z4" s="52">
        <f t="shared" si="3"/>
        <v>26.473600587766686</v>
      </c>
      <c r="AA4" s="52">
        <f t="shared" si="4"/>
        <v>17.291270306790977</v>
      </c>
      <c r="AB4" s="516">
        <v>43.232927970065461</v>
      </c>
      <c r="AC4" s="516">
        <v>23.266971583343182</v>
      </c>
      <c r="AD4" s="513">
        <v>0.81818247108781783</v>
      </c>
      <c r="AE4" s="513">
        <v>0</v>
      </c>
      <c r="AF4" s="513">
        <v>4.5059324494691415</v>
      </c>
      <c r="AG4" s="517">
        <v>0.21275946094200457</v>
      </c>
      <c r="AH4" s="517">
        <v>9.6830761933438175E-2</v>
      </c>
      <c r="AI4" s="517">
        <v>0.13934648969803173</v>
      </c>
      <c r="AJ4" s="517">
        <v>0.20083697374864642</v>
      </c>
      <c r="AK4" s="517">
        <v>0.29013842894220315</v>
      </c>
      <c r="AL4" s="517">
        <v>0.49919342045851905</v>
      </c>
      <c r="AM4" s="517">
        <v>0.19161523183885498</v>
      </c>
      <c r="AN4" s="517">
        <v>0.60741324476952119</v>
      </c>
      <c r="AO4" s="517">
        <v>0.43705171002524734</v>
      </c>
      <c r="AP4" s="517">
        <v>0.11209380573469936</v>
      </c>
      <c r="AQ4" s="517">
        <v>0.13481151519188214</v>
      </c>
      <c r="AR4" s="517">
        <v>0.6425744489979861</v>
      </c>
      <c r="AS4" s="517">
        <v>0.50565632021630169</v>
      </c>
      <c r="AT4" s="28">
        <v>0.73764926299785383</v>
      </c>
      <c r="AU4" s="517">
        <v>5.1360637336192227E-2</v>
      </c>
      <c r="AV4" s="517">
        <v>0.17454039898119372</v>
      </c>
      <c r="AW4" s="517">
        <v>0.23392510458237067</v>
      </c>
      <c r="AX4" s="517">
        <v>0.35994988210915668</v>
      </c>
      <c r="AY4" s="517">
        <v>7.7028357880697063E-2</v>
      </c>
      <c r="AZ4" s="518">
        <v>0</v>
      </c>
      <c r="BA4" s="518">
        <v>0</v>
      </c>
      <c r="BB4" s="518">
        <v>0</v>
      </c>
      <c r="BC4" s="518">
        <v>0</v>
      </c>
      <c r="BD4" s="518">
        <v>0</v>
      </c>
      <c r="BE4" s="518">
        <v>1.5710355474625924E-2</v>
      </c>
      <c r="BF4" s="518">
        <v>0</v>
      </c>
      <c r="BG4" s="518">
        <v>0</v>
      </c>
      <c r="BH4" s="518">
        <v>0</v>
      </c>
      <c r="BI4" s="518">
        <v>0</v>
      </c>
      <c r="BJ4" s="518">
        <v>0</v>
      </c>
      <c r="BK4" s="518">
        <v>0</v>
      </c>
      <c r="BL4" s="518">
        <v>0</v>
      </c>
      <c r="BM4" s="518">
        <v>0</v>
      </c>
      <c r="BN4" s="518">
        <v>0</v>
      </c>
      <c r="BO4" s="518">
        <v>0</v>
      </c>
      <c r="BP4" s="518">
        <v>0</v>
      </c>
      <c r="BQ4" s="518">
        <v>0</v>
      </c>
      <c r="BR4" s="518">
        <v>0</v>
      </c>
      <c r="BS4" s="518">
        <v>9.2721375225729596E-2</v>
      </c>
      <c r="BT4" s="518">
        <v>1.7772081914865543E-2</v>
      </c>
      <c r="BU4" s="518">
        <v>1.8349365318132638E-2</v>
      </c>
      <c r="BV4" s="518">
        <v>0</v>
      </c>
      <c r="BW4" s="518">
        <v>0</v>
      </c>
      <c r="BX4" s="518">
        <v>0</v>
      </c>
      <c r="BY4" s="518">
        <v>0</v>
      </c>
      <c r="BZ4" s="518">
        <v>0</v>
      </c>
      <c r="CA4" s="518">
        <v>0</v>
      </c>
      <c r="CB4" s="518">
        <v>0</v>
      </c>
      <c r="CC4" s="518">
        <v>0</v>
      </c>
      <c r="CD4" s="518">
        <v>0</v>
      </c>
    </row>
    <row r="5" spans="1:82" x14ac:dyDescent="0.3">
      <c r="A5" s="513">
        <v>2017</v>
      </c>
      <c r="B5" s="514" t="s">
        <v>1655</v>
      </c>
      <c r="C5" s="63" t="s">
        <v>13</v>
      </c>
      <c r="D5" s="513" t="s">
        <v>2</v>
      </c>
      <c r="E5" s="513" t="s">
        <v>274</v>
      </c>
      <c r="F5" s="515" t="s">
        <v>1502</v>
      </c>
      <c r="G5" s="15" t="s">
        <v>1531</v>
      </c>
      <c r="H5" s="15" t="s">
        <v>1554</v>
      </c>
      <c r="I5" s="16">
        <v>42906</v>
      </c>
      <c r="J5" s="149">
        <v>0.47916666666666669</v>
      </c>
      <c r="K5" s="156">
        <v>0.86367750124165299</v>
      </c>
      <c r="L5" s="156">
        <v>8.1488265598168297E-2</v>
      </c>
      <c r="M5" s="52">
        <f t="shared" si="5"/>
        <v>8.6367750124165301</v>
      </c>
      <c r="N5" s="52">
        <f t="shared" si="0"/>
        <v>0.81488265598168297</v>
      </c>
      <c r="O5" s="52">
        <f t="shared" si="6"/>
        <v>7.1973125103471085E-4</v>
      </c>
      <c r="P5" s="52">
        <f t="shared" si="1"/>
        <v>5.8205903998691641E-5</v>
      </c>
      <c r="Q5" s="52">
        <f t="shared" si="2"/>
        <v>12.365261968113906</v>
      </c>
      <c r="R5" s="52">
        <v>90.993333333333339</v>
      </c>
      <c r="S5" s="52">
        <v>6.4933333333333323</v>
      </c>
      <c r="T5" s="52">
        <v>2.13</v>
      </c>
      <c r="U5" s="52">
        <v>0.37999999999999995</v>
      </c>
      <c r="V5" s="52">
        <v>0</v>
      </c>
      <c r="W5" s="52">
        <v>0</v>
      </c>
      <c r="X5" s="52">
        <v>0</v>
      </c>
      <c r="Y5" s="52">
        <v>8.222023930952874</v>
      </c>
      <c r="Z5" s="52">
        <f t="shared" si="3"/>
        <v>82.220239309528736</v>
      </c>
      <c r="AA5" s="52">
        <f t="shared" si="4"/>
        <v>72.768581641130524</v>
      </c>
      <c r="AB5" s="516">
        <v>68.464280090485573</v>
      </c>
      <c r="AC5" s="516">
        <v>47.682766663724323</v>
      </c>
      <c r="AD5" s="513">
        <v>0.99807141023768398</v>
      </c>
      <c r="AE5" s="513">
        <v>0.33847639129799717</v>
      </c>
      <c r="AF5" s="513">
        <v>1.1341720570882772</v>
      </c>
      <c r="AG5" s="517">
        <v>1.1624304132337691</v>
      </c>
      <c r="AH5" s="517">
        <v>0.49035317923926047</v>
      </c>
      <c r="AI5" s="517">
        <v>0.8658883908391245</v>
      </c>
      <c r="AJ5" s="517">
        <v>1.0272709808274365</v>
      </c>
      <c r="AK5" s="517">
        <v>1.5330264302004266</v>
      </c>
      <c r="AL5" s="517">
        <v>2.2790088996816751</v>
      </c>
      <c r="AM5" s="517">
        <v>0.74131567854193769</v>
      </c>
      <c r="AN5" s="517">
        <v>3.3626973368527033</v>
      </c>
      <c r="AO5" s="517">
        <v>2.4470475506460247</v>
      </c>
      <c r="AP5" s="517">
        <v>0.50161447051128327</v>
      </c>
      <c r="AQ5" s="517">
        <v>0.71745095095671885</v>
      </c>
      <c r="AR5" s="517">
        <v>2.921777132829372</v>
      </c>
      <c r="AS5" s="517">
        <v>2.9615500100345189</v>
      </c>
      <c r="AT5" s="28">
        <v>4.2113273331854373</v>
      </c>
      <c r="AU5" s="517">
        <v>0.20669403256620178</v>
      </c>
      <c r="AV5" s="517">
        <v>1.1508555835244887</v>
      </c>
      <c r="AW5" s="517">
        <v>1.7211318005639731</v>
      </c>
      <c r="AX5" s="517">
        <v>1.4228921247327511</v>
      </c>
      <c r="AY5" s="517">
        <v>0.48576133737578331</v>
      </c>
      <c r="AZ5" s="518">
        <v>0</v>
      </c>
      <c r="BA5" s="518">
        <v>6.3833057507063418E-2</v>
      </c>
      <c r="BB5" s="518">
        <v>0.12516344803561363</v>
      </c>
      <c r="BC5" s="518">
        <v>0.19237781094945919</v>
      </c>
      <c r="BD5" s="518">
        <v>0.11731004747764523</v>
      </c>
      <c r="BE5" s="518">
        <v>7.621859453933065E-2</v>
      </c>
      <c r="BF5" s="518">
        <v>0.10818286245496235</v>
      </c>
      <c r="BG5" s="518">
        <v>0.13198410372251976</v>
      </c>
      <c r="BH5" s="518">
        <v>4.1674931586203355E-2</v>
      </c>
      <c r="BI5" s="518">
        <v>4.1422049719782222E-2</v>
      </c>
      <c r="BJ5" s="518">
        <v>0</v>
      </c>
      <c r="BK5" s="518">
        <v>0</v>
      </c>
      <c r="BL5" s="518">
        <v>1.4667148252425939E-2</v>
      </c>
      <c r="BM5" s="518">
        <v>0</v>
      </c>
      <c r="BN5" s="518">
        <v>1.5071759238699757E-2</v>
      </c>
      <c r="BO5" s="518">
        <v>9.3768596068957558E-2</v>
      </c>
      <c r="BP5" s="518">
        <v>0</v>
      </c>
      <c r="BQ5" s="518">
        <v>2.4165391155203837E-2</v>
      </c>
      <c r="BR5" s="518">
        <v>0</v>
      </c>
      <c r="BS5" s="518">
        <v>0.47656414219016907</v>
      </c>
      <c r="BT5" s="518">
        <v>7.1869026436887098E-2</v>
      </c>
      <c r="BU5" s="518">
        <v>2.7159512453630099E-2</v>
      </c>
      <c r="BV5" s="518">
        <v>0</v>
      </c>
      <c r="BW5" s="518">
        <v>0</v>
      </c>
      <c r="BX5" s="518">
        <v>4.3513197719573009E-2</v>
      </c>
      <c r="BY5" s="518">
        <v>0</v>
      </c>
      <c r="BZ5" s="518">
        <v>8.1933724720448353E-2</v>
      </c>
      <c r="CA5" s="518">
        <v>0</v>
      </c>
      <c r="CB5" s="518">
        <v>0</v>
      </c>
      <c r="CC5" s="518">
        <v>0</v>
      </c>
      <c r="CD5" s="518">
        <v>0</v>
      </c>
    </row>
    <row r="6" spans="1:82" x14ac:dyDescent="0.3">
      <c r="A6" s="513">
        <v>2017</v>
      </c>
      <c r="B6" s="514" t="s">
        <v>1655</v>
      </c>
      <c r="C6" s="63" t="s">
        <v>13</v>
      </c>
      <c r="D6" s="513" t="s">
        <v>2</v>
      </c>
      <c r="E6" s="513" t="s">
        <v>1527</v>
      </c>
      <c r="F6" s="515" t="s">
        <v>1503</v>
      </c>
      <c r="G6" s="15" t="s">
        <v>1532</v>
      </c>
      <c r="H6" s="15" t="s">
        <v>1555</v>
      </c>
      <c r="I6" s="16">
        <v>42908</v>
      </c>
      <c r="J6" s="149" t="s">
        <v>161</v>
      </c>
      <c r="K6" s="156">
        <v>1.08242922576017</v>
      </c>
      <c r="L6" s="156">
        <v>0.122053043312345</v>
      </c>
      <c r="M6" s="52">
        <f t="shared" si="5"/>
        <v>10.8242922576017</v>
      </c>
      <c r="N6" s="52">
        <f t="shared" ref="N6:N8" si="7">1000*L6/100</f>
        <v>1.2205304331234499</v>
      </c>
      <c r="O6" s="52">
        <f t="shared" si="6"/>
        <v>9.020243548001416E-4</v>
      </c>
      <c r="P6" s="52">
        <f t="shared" si="1"/>
        <v>8.7180745223103566E-5</v>
      </c>
      <c r="Q6" s="52">
        <f t="shared" si="2"/>
        <v>10.346600645495494</v>
      </c>
      <c r="R6" s="52">
        <v>86.04</v>
      </c>
      <c r="S6" s="52">
        <v>9.9966666666666661</v>
      </c>
      <c r="T6" s="52">
        <v>3.3666666666666671</v>
      </c>
      <c r="U6" s="52">
        <v>0.61</v>
      </c>
      <c r="V6" s="52">
        <v>0</v>
      </c>
      <c r="W6" s="52">
        <v>0</v>
      </c>
      <c r="X6" s="52">
        <v>0</v>
      </c>
      <c r="Y6" s="52">
        <v>8.3166346897107211</v>
      </c>
      <c r="Z6" s="52">
        <f t="shared" si="3"/>
        <v>83.166346897107218</v>
      </c>
      <c r="AA6" s="52">
        <f t="shared" si="4"/>
        <v>71.121524206382063</v>
      </c>
      <c r="AB6" s="516">
        <v>59.448788586476958</v>
      </c>
      <c r="AC6" s="516">
        <v>40.000425053164861</v>
      </c>
      <c r="AD6" s="513">
        <v>0</v>
      </c>
      <c r="AE6" s="513">
        <v>0</v>
      </c>
      <c r="AF6" s="513">
        <v>0.18459121477488866</v>
      </c>
      <c r="AG6" s="517">
        <v>1.2660150504148673</v>
      </c>
      <c r="AH6" s="517">
        <v>0.55676432966893008</v>
      </c>
      <c r="AI6" s="517">
        <v>1.0602797325117939</v>
      </c>
      <c r="AJ6" s="517">
        <v>0.92315259740700517</v>
      </c>
      <c r="AK6" s="517">
        <v>1.6078116624125258</v>
      </c>
      <c r="AL6" s="517">
        <v>2.5454668156616567</v>
      </c>
      <c r="AM6" s="517">
        <v>0.91556755719066429</v>
      </c>
      <c r="AN6" s="517">
        <v>3.753295418279075</v>
      </c>
      <c r="AO6" s="517">
        <v>2.8160179742873557</v>
      </c>
      <c r="AP6" s="517">
        <v>0.58336794071546616</v>
      </c>
      <c r="AQ6" s="517">
        <v>0.79508690925244818</v>
      </c>
      <c r="AR6" s="517">
        <v>3.5604439449628962</v>
      </c>
      <c r="AS6" s="517">
        <v>3.1142375290063073</v>
      </c>
      <c r="AT6" s="28">
        <v>4.5720823391690439</v>
      </c>
      <c r="AU6" s="517">
        <v>0.24829295139298929</v>
      </c>
      <c r="AV6" s="517">
        <v>1.4461796190302354</v>
      </c>
      <c r="AW6" s="517">
        <v>2.1941157799872224</v>
      </c>
      <c r="AX6" s="517">
        <v>1.7314886988386446</v>
      </c>
      <c r="AY6" s="517">
        <v>0.59958075993880233</v>
      </c>
      <c r="AZ6" s="518">
        <v>0</v>
      </c>
      <c r="BA6" s="518">
        <v>0</v>
      </c>
      <c r="BB6" s="518">
        <v>0</v>
      </c>
      <c r="BC6" s="518">
        <v>0</v>
      </c>
      <c r="BD6" s="518">
        <v>2.0858675205275096E-2</v>
      </c>
      <c r="BE6" s="518">
        <v>6.1012782274031209E-2</v>
      </c>
      <c r="BF6" s="518">
        <v>3.6292884144795499E-2</v>
      </c>
      <c r="BG6" s="518">
        <v>8.5354748224051105E-2</v>
      </c>
      <c r="BH6" s="518">
        <v>3.8653773291969701E-2</v>
      </c>
      <c r="BI6" s="518">
        <v>0</v>
      </c>
      <c r="BJ6" s="518">
        <v>0</v>
      </c>
      <c r="BK6" s="518">
        <v>0</v>
      </c>
      <c r="BL6" s="518">
        <v>1.5785552925223555E-2</v>
      </c>
      <c r="BM6" s="518">
        <v>0</v>
      </c>
      <c r="BN6" s="518">
        <v>2.0923958716132101E-2</v>
      </c>
      <c r="BO6" s="518">
        <v>0.11540581654716223</v>
      </c>
      <c r="BP6" s="518">
        <v>0</v>
      </c>
      <c r="BQ6" s="518">
        <v>0</v>
      </c>
      <c r="BR6" s="518">
        <v>0</v>
      </c>
      <c r="BS6" s="518">
        <v>0.55259429550308192</v>
      </c>
      <c r="BT6" s="518">
        <v>7.7076086863628213E-2</v>
      </c>
      <c r="BU6" s="518">
        <v>3.1524813906384862E-2</v>
      </c>
      <c r="BV6" s="518">
        <v>0</v>
      </c>
      <c r="BW6" s="518">
        <v>0</v>
      </c>
      <c r="BX6" s="518">
        <v>5.644910877324924E-2</v>
      </c>
      <c r="BY6" s="518">
        <v>0</v>
      </c>
      <c r="BZ6" s="518">
        <v>8.2399660430785698E-2</v>
      </c>
      <c r="CA6" s="518">
        <v>0</v>
      </c>
      <c r="CB6" s="518">
        <v>0</v>
      </c>
      <c r="CC6" s="518">
        <v>0</v>
      </c>
      <c r="CD6" s="518">
        <v>0</v>
      </c>
    </row>
    <row r="7" spans="1:82" x14ac:dyDescent="0.3">
      <c r="A7" s="513">
        <v>2017</v>
      </c>
      <c r="B7" s="514" t="s">
        <v>1655</v>
      </c>
      <c r="C7" s="63" t="s">
        <v>13</v>
      </c>
      <c r="D7" s="513" t="s">
        <v>2</v>
      </c>
      <c r="E7" s="513" t="s">
        <v>1526</v>
      </c>
      <c r="F7" s="515" t="s">
        <v>1504</v>
      </c>
      <c r="G7" s="15" t="s">
        <v>1533</v>
      </c>
      <c r="H7" s="15" t="s">
        <v>1556</v>
      </c>
      <c r="I7" s="16">
        <v>42906</v>
      </c>
      <c r="J7" s="149">
        <v>0.44305555555555554</v>
      </c>
      <c r="K7" s="156">
        <v>0.373886650847084</v>
      </c>
      <c r="L7" s="156">
        <v>4.8307574890288099E-2</v>
      </c>
      <c r="M7" s="52">
        <f t="shared" si="5"/>
        <v>3.7388665084708399</v>
      </c>
      <c r="N7" s="52">
        <f t="shared" si="7"/>
        <v>0.48307574890288102</v>
      </c>
      <c r="O7" s="52">
        <f t="shared" si="6"/>
        <v>3.1157220903923664E-4</v>
      </c>
      <c r="P7" s="52">
        <f t="shared" si="1"/>
        <v>3.4505410635920072E-5</v>
      </c>
      <c r="Q7" s="52">
        <f t="shared" si="2"/>
        <v>9.0296624006813158</v>
      </c>
      <c r="R7" s="52">
        <v>60.676666666666655</v>
      </c>
      <c r="S7" s="52">
        <v>20.83666666666667</v>
      </c>
      <c r="T7" s="52">
        <v>16.686666666666667</v>
      </c>
      <c r="U7" s="52">
        <v>1.7733333333333334</v>
      </c>
      <c r="V7" s="52">
        <v>0.01</v>
      </c>
      <c r="W7" s="52">
        <v>0</v>
      </c>
      <c r="X7" s="52">
        <v>0</v>
      </c>
      <c r="Y7" s="52">
        <v>6.5749608395325012</v>
      </c>
      <c r="Z7" s="52">
        <f t="shared" si="3"/>
        <v>65.749608395325012</v>
      </c>
      <c r="AA7" s="52">
        <f t="shared" si="4"/>
        <v>61.527666137951293</v>
      </c>
      <c r="AB7" s="516">
        <v>65.204990743597662</v>
      </c>
      <c r="AC7" s="516">
        <v>42.782473365893154</v>
      </c>
      <c r="AD7" s="513">
        <v>0.37647215712381604</v>
      </c>
      <c r="AE7" s="513">
        <v>0</v>
      </c>
      <c r="AF7" s="513">
        <v>0.40543155382564805</v>
      </c>
      <c r="AG7" s="517">
        <v>0.29406287180885021</v>
      </c>
      <c r="AH7" s="517">
        <v>0.12861656684993433</v>
      </c>
      <c r="AI7" s="517">
        <v>0.30777792611734345</v>
      </c>
      <c r="AJ7" s="517">
        <v>0.34779135499674696</v>
      </c>
      <c r="AK7" s="517">
        <v>0.55751608394559671</v>
      </c>
      <c r="AL7" s="517">
        <v>1.1627443345692252</v>
      </c>
      <c r="AM7" s="517">
        <v>0.45524606190463596</v>
      </c>
      <c r="AN7" s="517">
        <v>1.774295983921131</v>
      </c>
      <c r="AO7" s="517">
        <v>1.548909433354428</v>
      </c>
      <c r="AP7" s="517">
        <v>0.35609575887523109</v>
      </c>
      <c r="AQ7" s="517">
        <v>0.43928755737177988</v>
      </c>
      <c r="AR7" s="517">
        <v>1.7735005376773123</v>
      </c>
      <c r="AS7" s="517">
        <v>1.6726322815905348</v>
      </c>
      <c r="AT7" s="28">
        <v>2.4216561775033987</v>
      </c>
      <c r="AU7" s="517">
        <v>0.14848165360835197</v>
      </c>
      <c r="AV7" s="517">
        <v>0.69453114680584593</v>
      </c>
      <c r="AW7" s="517">
        <v>0.98383867375355261</v>
      </c>
      <c r="AX7" s="517">
        <v>0.83684292447362896</v>
      </c>
      <c r="AY7" s="517">
        <v>0.29451992300502067</v>
      </c>
      <c r="AZ7" s="518">
        <v>0</v>
      </c>
      <c r="BA7" s="518">
        <v>1.2253846565179825E-2</v>
      </c>
      <c r="BB7" s="518">
        <v>0</v>
      </c>
      <c r="BC7" s="518">
        <v>0</v>
      </c>
      <c r="BD7" s="518">
        <v>2.1606293347442799E-2</v>
      </c>
      <c r="BE7" s="518">
        <v>4.1321083239285863E-2</v>
      </c>
      <c r="BF7" s="518">
        <v>0</v>
      </c>
      <c r="BG7" s="518">
        <v>0</v>
      </c>
      <c r="BH7" s="518">
        <v>0</v>
      </c>
      <c r="BI7" s="518">
        <v>0</v>
      </c>
      <c r="BJ7" s="518">
        <v>0</v>
      </c>
      <c r="BK7" s="518">
        <v>0</v>
      </c>
      <c r="BL7" s="518">
        <v>1.3460281007288327E-2</v>
      </c>
      <c r="BM7" s="518">
        <v>0</v>
      </c>
      <c r="BN7" s="518">
        <v>1.3064390389426908E-2</v>
      </c>
      <c r="BO7" s="518">
        <v>0</v>
      </c>
      <c r="BP7" s="518">
        <v>0</v>
      </c>
      <c r="BQ7" s="518">
        <v>1.9805084849115955E-2</v>
      </c>
      <c r="BR7" s="518">
        <v>0</v>
      </c>
      <c r="BS7" s="518">
        <v>0.30896776681104476</v>
      </c>
      <c r="BT7" s="518">
        <v>5.1416293994752109E-2</v>
      </c>
      <c r="BU7" s="518">
        <v>2.4743163616338843E-2</v>
      </c>
      <c r="BV7" s="518">
        <v>0</v>
      </c>
      <c r="BW7" s="518">
        <v>0</v>
      </c>
      <c r="BX7" s="518">
        <v>6.8267678345439911E-2</v>
      </c>
      <c r="BY7" s="518">
        <v>0</v>
      </c>
      <c r="BZ7" s="518">
        <v>0</v>
      </c>
      <c r="CA7" s="518">
        <v>0</v>
      </c>
      <c r="CB7" s="518">
        <v>0</v>
      </c>
      <c r="CC7" s="518">
        <v>0</v>
      </c>
      <c r="CD7" s="518">
        <v>0</v>
      </c>
    </row>
    <row r="8" spans="1:82" x14ac:dyDescent="0.3">
      <c r="A8" s="513">
        <v>2017</v>
      </c>
      <c r="B8" s="514" t="s">
        <v>1655</v>
      </c>
      <c r="C8" s="513" t="s">
        <v>14</v>
      </c>
      <c r="D8" s="513" t="s">
        <v>2</v>
      </c>
      <c r="E8" s="513" t="s">
        <v>165</v>
      </c>
      <c r="F8" s="515" t="s">
        <v>1505</v>
      </c>
      <c r="G8" s="15" t="s">
        <v>1534</v>
      </c>
      <c r="H8" s="15" t="s">
        <v>1557</v>
      </c>
      <c r="I8" s="16">
        <v>42907</v>
      </c>
      <c r="J8" s="149">
        <v>0.31597222222222221</v>
      </c>
      <c r="K8" s="156">
        <v>0.244947850560124</v>
      </c>
      <c r="L8" s="156">
        <v>3.0429307384087001E-2</v>
      </c>
      <c r="M8" s="52">
        <f t="shared" si="5"/>
        <v>2.44947850560124</v>
      </c>
      <c r="N8" s="52">
        <f t="shared" si="7"/>
        <v>0.30429307384087001</v>
      </c>
      <c r="O8" s="52">
        <f t="shared" si="6"/>
        <v>2.0412320880010336E-4</v>
      </c>
      <c r="P8" s="52">
        <f t="shared" si="1"/>
        <v>2.1735219560062142E-5</v>
      </c>
      <c r="Q8" s="52">
        <f t="shared" si="2"/>
        <v>9.3913571121763155</v>
      </c>
      <c r="R8" s="52">
        <v>35.626666666666672</v>
      </c>
      <c r="S8" s="52">
        <v>14.74</v>
      </c>
      <c r="T8" s="52">
        <v>37.753333333333337</v>
      </c>
      <c r="U8" s="52">
        <v>11.829999999999998</v>
      </c>
      <c r="V8" s="52">
        <v>2.6666666666666668E-2</v>
      </c>
      <c r="W8" s="52">
        <v>0</v>
      </c>
      <c r="X8" s="52">
        <v>0</v>
      </c>
      <c r="Y8" s="52">
        <v>3.3797800930042996</v>
      </c>
      <c r="Z8" s="52">
        <f t="shared" si="3"/>
        <v>33.797800930042996</v>
      </c>
      <c r="AA8" s="52">
        <f t="shared" si="4"/>
        <v>31.044029350600887</v>
      </c>
      <c r="AB8" s="516">
        <v>55.284914159213031</v>
      </c>
      <c r="AC8" s="516">
        <v>32.380183202355781</v>
      </c>
      <c r="AG8" s="517">
        <v>0.16299486383210493</v>
      </c>
      <c r="AH8" s="517">
        <v>7.0920134573778368E-2</v>
      </c>
      <c r="AI8" s="517">
        <v>0.15466900396840175</v>
      </c>
      <c r="AJ8" s="517">
        <v>0.14658455825696831</v>
      </c>
      <c r="AK8" s="517">
        <v>0.21270386014638726</v>
      </c>
      <c r="AL8" s="517">
        <v>0.40960753802287103</v>
      </c>
      <c r="AM8" s="517">
        <v>0.2359583399368666</v>
      </c>
      <c r="AN8" s="517">
        <v>0.82299206549321402</v>
      </c>
      <c r="AO8" s="517">
        <v>0.68100183113708324</v>
      </c>
      <c r="AP8" s="517">
        <v>0.19655301478827028</v>
      </c>
      <c r="AQ8" s="517">
        <v>0.24412495384963914</v>
      </c>
      <c r="AR8" s="517">
        <v>0.86225482311506763</v>
      </c>
      <c r="AS8" s="517">
        <v>0.75946776868218868</v>
      </c>
      <c r="AT8" s="28">
        <v>1.0399756224969681</v>
      </c>
      <c r="AU8" s="517">
        <v>6.8416942252731025E-2</v>
      </c>
      <c r="AV8" s="517">
        <v>0.24098637513982268</v>
      </c>
      <c r="AW8" s="517">
        <v>0.36269849920985087</v>
      </c>
      <c r="AX8" s="517">
        <v>0.38836179721277037</v>
      </c>
      <c r="AY8" s="517">
        <v>9.5066255983902712E-2</v>
      </c>
      <c r="AZ8" s="518">
        <v>0</v>
      </c>
      <c r="BA8" s="518">
        <v>2.8885900692265553E-2</v>
      </c>
      <c r="BB8" s="518">
        <v>7.0307090912464384E-2</v>
      </c>
      <c r="BC8" s="518">
        <v>0.13975809377810106</v>
      </c>
      <c r="BD8" s="518">
        <v>0.44444273550846708</v>
      </c>
      <c r="BE8" s="518">
        <v>6.5440773649964992E-2</v>
      </c>
      <c r="BF8" s="518">
        <v>0.46955091115583647</v>
      </c>
      <c r="BG8" s="518">
        <v>0.7142092655579092</v>
      </c>
      <c r="BH8" s="518">
        <v>0</v>
      </c>
      <c r="BI8" s="518">
        <v>0</v>
      </c>
      <c r="BJ8" s="518">
        <v>0</v>
      </c>
      <c r="BK8" s="518">
        <v>0</v>
      </c>
      <c r="BL8" s="518">
        <v>1.277722603559079E-2</v>
      </c>
      <c r="BM8" s="518">
        <v>0</v>
      </c>
      <c r="BN8" s="518">
        <v>0</v>
      </c>
      <c r="BO8" s="518">
        <v>0</v>
      </c>
      <c r="BP8" s="518">
        <v>0</v>
      </c>
      <c r="BQ8" s="518">
        <v>0</v>
      </c>
      <c r="BR8" s="518">
        <v>0</v>
      </c>
      <c r="BS8" s="518">
        <v>0.12737285760461864</v>
      </c>
      <c r="BT8" s="518">
        <v>2.7109095543192629E-2</v>
      </c>
      <c r="BU8" s="518">
        <v>2.1327765131651546E-2</v>
      </c>
      <c r="BV8" s="518">
        <v>0</v>
      </c>
      <c r="BW8" s="518">
        <v>0</v>
      </c>
      <c r="BX8" s="518">
        <v>0</v>
      </c>
      <c r="BY8" s="518">
        <v>0</v>
      </c>
      <c r="BZ8" s="518">
        <v>0</v>
      </c>
      <c r="CA8" s="518">
        <v>0</v>
      </c>
      <c r="CB8" s="518">
        <v>0</v>
      </c>
      <c r="CC8" s="518">
        <v>0</v>
      </c>
      <c r="CD8" s="518">
        <v>0</v>
      </c>
    </row>
    <row r="9" spans="1:82" x14ac:dyDescent="0.3">
      <c r="A9" s="513">
        <v>2017</v>
      </c>
      <c r="B9" s="514" t="s">
        <v>1655</v>
      </c>
      <c r="C9" s="513" t="s">
        <v>14</v>
      </c>
      <c r="D9" s="513" t="s">
        <v>2</v>
      </c>
      <c r="E9" s="513" t="s">
        <v>166</v>
      </c>
      <c r="F9" s="515" t="s">
        <v>1506</v>
      </c>
      <c r="G9" s="15" t="s">
        <v>1535</v>
      </c>
      <c r="H9" s="15" t="s">
        <v>1558</v>
      </c>
      <c r="I9" s="16">
        <v>42907</v>
      </c>
      <c r="J9" s="149">
        <v>0.43541666666666662</v>
      </c>
      <c r="K9" s="156">
        <v>0.32082666519507802</v>
      </c>
      <c r="L9" s="156">
        <v>4.0484640335813803E-2</v>
      </c>
      <c r="M9" s="52">
        <f t="shared" si="5"/>
        <v>3.2082666519507801</v>
      </c>
      <c r="N9" s="52">
        <f t="shared" ref="N9:N11" si="8">1000*L9/100</f>
        <v>0.40484640335813799</v>
      </c>
      <c r="O9" s="52">
        <f t="shared" si="6"/>
        <v>2.673555543292317E-4</v>
      </c>
      <c r="P9" s="52">
        <f t="shared" si="1"/>
        <v>2.8917600239867001E-5</v>
      </c>
      <c r="Q9" s="52">
        <f t="shared" si="2"/>
        <v>9.2454267336002616</v>
      </c>
      <c r="R9" s="52">
        <v>80.430000000000007</v>
      </c>
      <c r="S9" s="52">
        <v>12.063333333333333</v>
      </c>
      <c r="T9" s="52">
        <v>5.6000000000000005</v>
      </c>
      <c r="U9" s="52">
        <v>1.9200000000000002</v>
      </c>
      <c r="V9" s="52">
        <v>0</v>
      </c>
      <c r="W9" s="52">
        <v>0</v>
      </c>
      <c r="X9" s="52">
        <v>0</v>
      </c>
      <c r="Y9" s="52">
        <v>10.516246944861704</v>
      </c>
      <c r="Z9" s="52">
        <f t="shared" si="3"/>
        <v>105.16246944861705</v>
      </c>
      <c r="AA9" s="52">
        <f t="shared" si="4"/>
        <v>101.54935639330813</v>
      </c>
      <c r="AB9" s="516">
        <v>72.434599930982586</v>
      </c>
      <c r="AC9" s="516">
        <v>53.282060188793245</v>
      </c>
      <c r="AD9" s="513">
        <v>0.17188625744646613</v>
      </c>
      <c r="AE9" s="513">
        <v>0</v>
      </c>
      <c r="AF9" s="513">
        <v>0.35258719476198186</v>
      </c>
      <c r="AG9" s="517">
        <v>0.9477042310099778</v>
      </c>
      <c r="AH9" s="517">
        <v>0.41788966736410244</v>
      </c>
      <c r="AI9" s="517">
        <v>0.70922214676709494</v>
      </c>
      <c r="AJ9" s="517">
        <v>0.70177853464548434</v>
      </c>
      <c r="AK9" s="517">
        <v>1.2398184875036371</v>
      </c>
      <c r="AL9" s="517">
        <v>2.5464594833054996</v>
      </c>
      <c r="AM9" s="517">
        <v>0.79088891623972102</v>
      </c>
      <c r="AN9" s="517">
        <v>2.9289593901405535</v>
      </c>
      <c r="AO9" s="517">
        <v>2.5837832342801983</v>
      </c>
      <c r="AP9" s="517">
        <v>0.58374040444497965</v>
      </c>
      <c r="AQ9" s="517">
        <v>0.76339197974735928</v>
      </c>
      <c r="AR9" s="517">
        <v>2.8451128433042561</v>
      </c>
      <c r="AS9" s="517">
        <v>2.7427164748025761</v>
      </c>
      <c r="AT9" s="28">
        <v>3.482337679187689</v>
      </c>
      <c r="AU9" s="517">
        <v>0.22569934021433796</v>
      </c>
      <c r="AV9" s="517">
        <v>0.93830673210225712</v>
      </c>
      <c r="AW9" s="517">
        <v>1.3545743996142023</v>
      </c>
      <c r="AX9" s="517">
        <v>1.2144075639034055</v>
      </c>
      <c r="AY9" s="517">
        <v>0.36444612018490258</v>
      </c>
      <c r="AZ9" s="518">
        <v>0</v>
      </c>
      <c r="BA9" s="518">
        <v>2.7918634624465675E-2</v>
      </c>
      <c r="BB9" s="518">
        <v>0</v>
      </c>
      <c r="BC9" s="518">
        <v>0</v>
      </c>
      <c r="BD9" s="518">
        <v>6.1205981641578477E-2</v>
      </c>
      <c r="BE9" s="518">
        <v>0.11854849513580692</v>
      </c>
      <c r="BF9" s="518">
        <v>3.0078756317180173E-2</v>
      </c>
      <c r="BG9" s="518">
        <v>5.749690970054739E-2</v>
      </c>
      <c r="BH9" s="518">
        <v>3.4184745274763492E-2</v>
      </c>
      <c r="BI9" s="518">
        <v>0</v>
      </c>
      <c r="BJ9" s="518">
        <v>3.1081381527752843E-2</v>
      </c>
      <c r="BK9" s="518">
        <v>0</v>
      </c>
      <c r="BL9" s="518">
        <v>1.3845776717432144E-2</v>
      </c>
      <c r="BM9" s="518">
        <v>0</v>
      </c>
      <c r="BN9" s="518">
        <v>1.1315341662177302E-2</v>
      </c>
      <c r="BO9" s="518">
        <v>6.4406733764882623E-2</v>
      </c>
      <c r="BP9" s="518">
        <v>0</v>
      </c>
      <c r="BQ9" s="518">
        <v>2.4478924680304853E-2</v>
      </c>
      <c r="BR9" s="518">
        <v>0</v>
      </c>
      <c r="BS9" s="518">
        <v>0.5884970550705142</v>
      </c>
      <c r="BT9" s="518">
        <v>6.1064649729640388E-2</v>
      </c>
      <c r="BU9" s="518">
        <v>2.5590814898426305E-2</v>
      </c>
      <c r="BV9" s="518">
        <v>0</v>
      </c>
      <c r="BW9" s="518">
        <v>0</v>
      </c>
      <c r="BX9" s="518">
        <v>5.3512537447018366E-2</v>
      </c>
      <c r="BY9" s="518">
        <v>0</v>
      </c>
      <c r="BZ9" s="518">
        <v>6.4645454053114199E-2</v>
      </c>
      <c r="CA9" s="518">
        <v>0</v>
      </c>
      <c r="CB9" s="518">
        <v>2.0864153191440849E-2</v>
      </c>
      <c r="CC9" s="518">
        <v>0</v>
      </c>
      <c r="CD9" s="518">
        <v>0</v>
      </c>
    </row>
    <row r="10" spans="1:82" x14ac:dyDescent="0.3">
      <c r="A10" s="513">
        <v>2017</v>
      </c>
      <c r="B10" s="514" t="s">
        <v>1656</v>
      </c>
      <c r="C10" s="513" t="s">
        <v>3</v>
      </c>
      <c r="D10" s="513" t="s">
        <v>2</v>
      </c>
      <c r="E10" s="513" t="s">
        <v>1524</v>
      </c>
      <c r="F10" s="515" t="s">
        <v>1507</v>
      </c>
      <c r="G10" s="15" t="s">
        <v>1536</v>
      </c>
      <c r="H10" s="15" t="s">
        <v>1559</v>
      </c>
      <c r="I10" s="16">
        <v>43025</v>
      </c>
      <c r="J10" s="149">
        <v>0.4861111111111111</v>
      </c>
      <c r="K10" s="156">
        <v>0.35313724408145197</v>
      </c>
      <c r="L10" s="156">
        <v>4.4014501049418099E-2</v>
      </c>
      <c r="M10" s="52">
        <f t="shared" si="5"/>
        <v>3.5313724408145197</v>
      </c>
      <c r="N10" s="52">
        <f t="shared" si="8"/>
        <v>0.44014501049418103</v>
      </c>
      <c r="O10" s="52">
        <f t="shared" si="6"/>
        <v>2.9428103673454333E-4</v>
      </c>
      <c r="P10" s="52">
        <f t="shared" si="1"/>
        <v>3.1438929321012931E-5</v>
      </c>
      <c r="Q10" s="52">
        <f t="shared" si="2"/>
        <v>9.3604026310735033</v>
      </c>
      <c r="R10" s="52">
        <v>76.436666666666667</v>
      </c>
      <c r="S10" s="52">
        <v>20.973333333333329</v>
      </c>
      <c r="T10" s="52">
        <v>1.8100000000000003</v>
      </c>
      <c r="U10" s="52">
        <v>0.7533333333333333</v>
      </c>
      <c r="V10" s="52">
        <v>1.3333333333333334E-2</v>
      </c>
      <c r="W10" s="52">
        <v>0</v>
      </c>
      <c r="X10" s="52">
        <v>0</v>
      </c>
      <c r="Y10" s="52">
        <v>5.118563118014178</v>
      </c>
      <c r="Z10" s="52">
        <f t="shared" si="3"/>
        <v>51.185631180141783</v>
      </c>
      <c r="AA10" s="52">
        <f t="shared" si="4"/>
        <v>47.214113728833084</v>
      </c>
      <c r="AB10" s="516">
        <v>62.155555555555551</v>
      </c>
      <c r="AC10" s="516">
        <v>39.28652192783472</v>
      </c>
      <c r="AD10" s="513">
        <v>0.22018670983049057</v>
      </c>
      <c r="AE10" s="513">
        <v>0</v>
      </c>
      <c r="AF10" s="513">
        <v>0.94554862417713836</v>
      </c>
      <c r="AG10" s="517">
        <v>1.3297051162849354</v>
      </c>
      <c r="AH10" s="517">
        <v>0.5802716920464368</v>
      </c>
      <c r="AI10" s="517">
        <v>0.96736591752130552</v>
      </c>
      <c r="AJ10" s="517">
        <v>1.2292840613585947</v>
      </c>
      <c r="AK10" s="517">
        <v>1.7900463517833189</v>
      </c>
      <c r="AL10" s="517">
        <v>2.9178236676253015</v>
      </c>
      <c r="AM10" s="517">
        <v>0.62504496349657102</v>
      </c>
      <c r="AN10" s="517">
        <v>3.3090982710145656</v>
      </c>
      <c r="AO10" s="517">
        <v>2.5115202521645177</v>
      </c>
      <c r="AP10" s="517">
        <v>0.9525704076351249</v>
      </c>
      <c r="AQ10" s="517">
        <v>0.88441844653080004</v>
      </c>
      <c r="AR10" s="517">
        <v>2.4033549112970443</v>
      </c>
      <c r="AS10" s="517">
        <v>2.6966562260977831</v>
      </c>
      <c r="AT10" s="28">
        <v>3.7094165095338507</v>
      </c>
      <c r="AU10" s="517">
        <v>0.27653692767623672</v>
      </c>
      <c r="AV10" s="517">
        <v>0.75321554494369947</v>
      </c>
      <c r="AW10" s="517">
        <v>1.4814512366414945</v>
      </c>
      <c r="AX10" s="517">
        <v>1.3722562936347422</v>
      </c>
      <c r="AY10" s="517">
        <v>0.41670698241486698</v>
      </c>
      <c r="AZ10" s="518">
        <v>0</v>
      </c>
      <c r="BA10" s="518">
        <v>1.0327029348372147E-2</v>
      </c>
      <c r="BB10" s="518">
        <v>0</v>
      </c>
      <c r="BC10" s="518">
        <v>0</v>
      </c>
      <c r="BD10" s="518">
        <v>0</v>
      </c>
      <c r="BE10" s="518">
        <v>0</v>
      </c>
      <c r="BF10" s="518">
        <v>2.6453286356109853E-2</v>
      </c>
      <c r="BG10" s="518">
        <v>0</v>
      </c>
      <c r="BH10" s="518">
        <v>0</v>
      </c>
      <c r="BI10" s="518">
        <v>0</v>
      </c>
      <c r="BJ10" s="518">
        <v>0</v>
      </c>
      <c r="BK10" s="518">
        <v>0</v>
      </c>
      <c r="BL10" s="518">
        <v>2.0304684662527561E-2</v>
      </c>
      <c r="BM10" s="518">
        <v>0</v>
      </c>
      <c r="BN10" s="518">
        <v>3.4985067000693031E-2</v>
      </c>
      <c r="BO10" s="518">
        <v>0.10338230289441851</v>
      </c>
      <c r="BP10" s="518">
        <v>0</v>
      </c>
      <c r="BQ10" s="518">
        <v>0</v>
      </c>
      <c r="BR10" s="518">
        <v>0</v>
      </c>
      <c r="BS10" s="518">
        <v>0.24856222813886109</v>
      </c>
      <c r="BT10" s="518">
        <v>4.3945819856456368E-2</v>
      </c>
      <c r="BU10" s="518">
        <v>2.6643940672189923E-2</v>
      </c>
      <c r="BV10" s="518">
        <v>0</v>
      </c>
      <c r="BW10" s="518">
        <v>0</v>
      </c>
      <c r="BX10" s="518">
        <v>3.0525185911789966E-2</v>
      </c>
      <c r="BY10" s="518">
        <v>0</v>
      </c>
      <c r="BZ10" s="518">
        <v>0</v>
      </c>
      <c r="CA10" s="518">
        <v>0</v>
      </c>
      <c r="CB10" s="518">
        <v>2.8502820253970614E-2</v>
      </c>
      <c r="CC10" s="518">
        <v>0</v>
      </c>
      <c r="CD10" s="518">
        <v>0</v>
      </c>
    </row>
    <row r="11" spans="1:82" x14ac:dyDescent="0.3">
      <c r="A11" s="513">
        <v>2017</v>
      </c>
      <c r="B11" s="514" t="s">
        <v>1656</v>
      </c>
      <c r="C11" s="513" t="s">
        <v>3</v>
      </c>
      <c r="D11" s="513" t="s">
        <v>2</v>
      </c>
      <c r="E11" s="513" t="s">
        <v>1525</v>
      </c>
      <c r="F11" s="515" t="s">
        <v>1508</v>
      </c>
      <c r="G11" s="15" t="s">
        <v>1537</v>
      </c>
      <c r="H11" s="15" t="s">
        <v>1560</v>
      </c>
      <c r="I11" s="16">
        <v>43024</v>
      </c>
      <c r="J11" s="149">
        <v>0.44791666666666669</v>
      </c>
      <c r="K11" s="156">
        <v>0.33862369626400302</v>
      </c>
      <c r="L11" s="156">
        <v>3.6363289448578501E-2</v>
      </c>
      <c r="M11" s="52">
        <f t="shared" si="5"/>
        <v>3.3862369626400302</v>
      </c>
      <c r="N11" s="52">
        <f t="shared" si="8"/>
        <v>0.36363289448578501</v>
      </c>
      <c r="O11" s="52">
        <f t="shared" si="6"/>
        <v>2.8218641355333586E-4</v>
      </c>
      <c r="P11" s="52">
        <f t="shared" si="1"/>
        <v>2.5973778177556075E-5</v>
      </c>
      <c r="Q11" s="52">
        <f t="shared" si="2"/>
        <v>10.864280568822789</v>
      </c>
      <c r="R11" s="52">
        <v>66.496666666666655</v>
      </c>
      <c r="S11" s="52">
        <v>30.466666666666669</v>
      </c>
      <c r="T11" s="52">
        <v>3.0266666666666668</v>
      </c>
      <c r="U11" s="52">
        <v>0</v>
      </c>
      <c r="V11" s="52">
        <v>0</v>
      </c>
      <c r="W11" s="52">
        <v>0</v>
      </c>
      <c r="X11" s="52">
        <v>0</v>
      </c>
      <c r="Y11" s="52">
        <v>11.922986747346206</v>
      </c>
      <c r="Z11" s="52">
        <f t="shared" si="3"/>
        <v>119.22986747346205</v>
      </c>
      <c r="AA11" s="52">
        <f t="shared" si="4"/>
        <v>115.47999761633623</v>
      </c>
      <c r="AB11" s="516">
        <v>59.822222222222209</v>
      </c>
      <c r="AC11" s="516">
        <v>37.522615320712426</v>
      </c>
      <c r="AD11" s="513">
        <v>0</v>
      </c>
      <c r="AE11" s="513">
        <v>0</v>
      </c>
      <c r="AF11" s="513">
        <v>0.16516136899986167</v>
      </c>
      <c r="AG11" s="517">
        <v>0.6279457940298695</v>
      </c>
      <c r="AH11" s="517">
        <v>0.27220709827709288</v>
      </c>
      <c r="AI11" s="517">
        <v>0.35359345342752707</v>
      </c>
      <c r="AJ11" s="517">
        <v>0.44703464034591162</v>
      </c>
      <c r="AK11" s="517">
        <v>0.59157988816679041</v>
      </c>
      <c r="AL11" s="517">
        <v>0.98965029642651647</v>
      </c>
      <c r="AM11" s="517">
        <v>0.33043414460971915</v>
      </c>
      <c r="AN11" s="517">
        <v>1.3303542995201392</v>
      </c>
      <c r="AO11" s="517">
        <v>1.0491875257189025</v>
      </c>
      <c r="AP11" s="517">
        <v>0.45450505090592064</v>
      </c>
      <c r="AQ11" s="517">
        <v>0.45050145455822399</v>
      </c>
      <c r="AR11" s="517">
        <v>1.2451046197033215</v>
      </c>
      <c r="AS11" s="517">
        <v>1.0369397833863929</v>
      </c>
      <c r="AT11" s="28">
        <v>1.4837796020259786</v>
      </c>
      <c r="AU11" s="517">
        <v>0.14878383168562553</v>
      </c>
      <c r="AV11" s="517">
        <v>0.28811918466232683</v>
      </c>
      <c r="AW11" s="517">
        <v>0.62604154845685844</v>
      </c>
      <c r="AX11" s="517">
        <v>0.60076267540796902</v>
      </c>
      <c r="AY11" s="517">
        <v>0.20058125084866935</v>
      </c>
      <c r="AZ11" s="518">
        <v>0</v>
      </c>
      <c r="BA11" s="518">
        <v>4.3084666816918346E-2</v>
      </c>
      <c r="BB11" s="518">
        <v>9.6784864648285868E-2</v>
      </c>
      <c r="BC11" s="518">
        <v>0.24252507050659358</v>
      </c>
      <c r="BD11" s="518">
        <v>0.22949239976961408</v>
      </c>
      <c r="BE11" s="518">
        <v>3.7424936769088216E-2</v>
      </c>
      <c r="BF11" s="518">
        <v>0.24856935366739288</v>
      </c>
      <c r="BG11" s="518">
        <v>0.26585781183482332</v>
      </c>
      <c r="BH11" s="518">
        <v>0</v>
      </c>
      <c r="BI11" s="518">
        <v>0</v>
      </c>
      <c r="BJ11" s="518">
        <v>0</v>
      </c>
      <c r="BK11" s="518">
        <v>0</v>
      </c>
      <c r="BL11" s="518">
        <v>1.3156036360904514E-2</v>
      </c>
      <c r="BM11" s="518">
        <v>0</v>
      </c>
      <c r="BN11" s="518">
        <v>0</v>
      </c>
      <c r="BO11" s="518">
        <v>0</v>
      </c>
      <c r="BP11" s="518">
        <v>0</v>
      </c>
      <c r="BQ11" s="518">
        <v>0</v>
      </c>
      <c r="BR11" s="518">
        <v>0</v>
      </c>
      <c r="BS11" s="518">
        <v>0.18865850299251244</v>
      </c>
      <c r="BT11" s="518">
        <v>3.1594420654596445E-2</v>
      </c>
      <c r="BU11" s="518">
        <v>0</v>
      </c>
      <c r="BV11" s="518">
        <v>0</v>
      </c>
      <c r="BW11" s="518">
        <v>0</v>
      </c>
      <c r="BX11" s="518">
        <v>1.9785640948588888E-2</v>
      </c>
      <c r="BY11" s="518">
        <v>0</v>
      </c>
      <c r="BZ11" s="518">
        <v>0</v>
      </c>
      <c r="CA11" s="518">
        <v>0</v>
      </c>
      <c r="CB11" s="518">
        <v>0</v>
      </c>
      <c r="CC11" s="518">
        <v>0</v>
      </c>
      <c r="CD11" s="518">
        <v>0</v>
      </c>
    </row>
    <row r="12" spans="1:82" x14ac:dyDescent="0.3">
      <c r="A12" s="513">
        <v>2017</v>
      </c>
      <c r="B12" s="514" t="s">
        <v>1656</v>
      </c>
      <c r="C12" s="513" t="s">
        <v>3</v>
      </c>
      <c r="D12" s="513" t="s">
        <v>2</v>
      </c>
      <c r="E12" s="513" t="s">
        <v>168</v>
      </c>
      <c r="F12" s="515" t="s">
        <v>1509</v>
      </c>
      <c r="G12" s="15" t="s">
        <v>1538</v>
      </c>
      <c r="H12" s="15" t="s">
        <v>1561</v>
      </c>
      <c r="I12" s="16">
        <v>43024</v>
      </c>
      <c r="J12" s="149">
        <v>0.3263888888888889</v>
      </c>
      <c r="K12" s="156">
        <v>0.57878704265768999</v>
      </c>
      <c r="L12" s="156">
        <v>6.5995039114672804E-2</v>
      </c>
      <c r="M12" s="52">
        <f t="shared" si="5"/>
        <v>5.7878704265768999</v>
      </c>
      <c r="N12" s="52">
        <f t="shared" ref="N12:N14" si="9">1000*L12/100</f>
        <v>0.65995039114672804</v>
      </c>
      <c r="O12" s="52">
        <f t="shared" si="6"/>
        <v>4.82322535548075E-4</v>
      </c>
      <c r="P12" s="52">
        <f t="shared" si="1"/>
        <v>4.7139313653337722E-5</v>
      </c>
      <c r="Q12" s="52">
        <f t="shared" si="2"/>
        <v>10.231853163902057</v>
      </c>
      <c r="R12" s="52">
        <v>64.956666666666678</v>
      </c>
      <c r="S12" s="52">
        <v>20.720000000000002</v>
      </c>
      <c r="T12" s="52">
        <v>11.473333333333334</v>
      </c>
      <c r="U12" s="52">
        <v>2.7266666666666666</v>
      </c>
      <c r="V12" s="52">
        <v>0.15</v>
      </c>
      <c r="W12" s="52">
        <v>0</v>
      </c>
      <c r="X12" s="52">
        <v>0</v>
      </c>
      <c r="Y12" s="52">
        <v>6.928255021880827</v>
      </c>
      <c r="Z12" s="52">
        <f t="shared" si="3"/>
        <v>69.282550218808268</v>
      </c>
      <c r="AA12" s="52">
        <f t="shared" si="4"/>
        <v>62.834729401084644</v>
      </c>
      <c r="AB12" s="516">
        <v>68.222222222222243</v>
      </c>
      <c r="AC12" s="516">
        <v>47.794003175888164</v>
      </c>
      <c r="AD12" s="513">
        <v>0</v>
      </c>
      <c r="AE12" s="513">
        <v>0</v>
      </c>
      <c r="AF12" s="513">
        <v>0.41363896393685756</v>
      </c>
      <c r="AG12" s="517">
        <v>0.98289132530426027</v>
      </c>
      <c r="AH12" s="517">
        <v>0.39200346802996494</v>
      </c>
      <c r="AI12" s="517">
        <v>0.32262905112946072</v>
      </c>
      <c r="AJ12" s="517">
        <v>0.80548393705147037</v>
      </c>
      <c r="AK12" s="517">
        <v>0.86350539459700637</v>
      </c>
      <c r="AL12" s="517">
        <v>1.5310322870904618</v>
      </c>
      <c r="AM12" s="517">
        <v>0.47441470952169351</v>
      </c>
      <c r="AN12" s="517">
        <v>1.9554861379011557</v>
      </c>
      <c r="AO12" s="517">
        <v>1.6766397813648257</v>
      </c>
      <c r="AP12" s="517">
        <v>0.68030031249160261</v>
      </c>
      <c r="AQ12" s="517">
        <v>0.60208576548436998</v>
      </c>
      <c r="AR12" s="517">
        <v>1.9859817660971602</v>
      </c>
      <c r="AS12" s="517">
        <v>1.622217974506954</v>
      </c>
      <c r="AT12" s="28">
        <v>2.3761581211427236</v>
      </c>
      <c r="AU12" s="517">
        <v>0.20996137076140292</v>
      </c>
      <c r="AV12" s="517">
        <v>0.41212810621106299</v>
      </c>
      <c r="AW12" s="517">
        <v>0.92201566862640794</v>
      </c>
      <c r="AX12" s="517">
        <v>0.95722058956161882</v>
      </c>
      <c r="AY12" s="517">
        <v>0.28685273286993462</v>
      </c>
      <c r="AZ12" s="518">
        <v>0</v>
      </c>
      <c r="BA12" s="518">
        <v>9.4344457913101299E-3</v>
      </c>
      <c r="BB12" s="518">
        <v>0</v>
      </c>
      <c r="BC12" s="518">
        <v>0</v>
      </c>
      <c r="BD12" s="518">
        <v>0</v>
      </c>
      <c r="BE12" s="518">
        <v>2.7706951220240406E-2</v>
      </c>
      <c r="BF12" s="518">
        <v>0</v>
      </c>
      <c r="BG12" s="518">
        <v>0</v>
      </c>
      <c r="BH12" s="518">
        <v>0</v>
      </c>
      <c r="BI12" s="518">
        <v>0</v>
      </c>
      <c r="BJ12" s="518">
        <v>0</v>
      </c>
      <c r="BK12" s="518">
        <v>0</v>
      </c>
      <c r="BL12" s="518">
        <v>1.3507138719867197E-2</v>
      </c>
      <c r="BM12" s="518">
        <v>0</v>
      </c>
      <c r="BN12" s="518">
        <v>5.4115139102032042E-3</v>
      </c>
      <c r="BO12" s="518">
        <v>3.7317799924761294E-2</v>
      </c>
      <c r="BP12" s="518">
        <v>0</v>
      </c>
      <c r="BQ12" s="518">
        <v>1.0742912534011674E-2</v>
      </c>
      <c r="BR12" s="518">
        <v>0</v>
      </c>
      <c r="BS12" s="518">
        <v>0.26587576457849404</v>
      </c>
      <c r="BT12" s="518">
        <v>3.6322081365283906E-2</v>
      </c>
      <c r="BU12" s="518">
        <v>2.320457164695134E-2</v>
      </c>
      <c r="BV12" s="518">
        <v>0</v>
      </c>
      <c r="BW12" s="518">
        <v>0</v>
      </c>
      <c r="BX12" s="518">
        <v>1.3450411125774031E-2</v>
      </c>
      <c r="BY12" s="518">
        <v>0</v>
      </c>
      <c r="BZ12" s="518">
        <v>0</v>
      </c>
      <c r="CA12" s="518">
        <v>0</v>
      </c>
      <c r="CB12" s="518">
        <v>1.2208375381418429E-2</v>
      </c>
      <c r="CC12" s="518">
        <v>0</v>
      </c>
      <c r="CD12" s="518">
        <v>0</v>
      </c>
    </row>
    <row r="13" spans="1:82" x14ac:dyDescent="0.3">
      <c r="A13" s="513">
        <v>2017</v>
      </c>
      <c r="B13" s="514" t="s">
        <v>1656</v>
      </c>
      <c r="C13" s="513" t="s">
        <v>13</v>
      </c>
      <c r="D13" s="513" t="s">
        <v>2</v>
      </c>
      <c r="E13" s="513" t="s">
        <v>274</v>
      </c>
      <c r="F13" s="515" t="s">
        <v>1510</v>
      </c>
      <c r="G13" s="15" t="s">
        <v>1539</v>
      </c>
      <c r="H13" s="15" t="s">
        <v>1562</v>
      </c>
      <c r="I13" s="16">
        <v>43025</v>
      </c>
      <c r="J13" s="149">
        <v>0.38194444444444442</v>
      </c>
      <c r="K13" s="156">
        <v>0.68761105899232899</v>
      </c>
      <c r="L13" s="156">
        <v>7.5935890097309694E-2</v>
      </c>
      <c r="M13" s="52">
        <f t="shared" si="5"/>
        <v>6.8761105899232904</v>
      </c>
      <c r="N13" s="52">
        <f t="shared" si="9"/>
        <v>0.759358900973097</v>
      </c>
      <c r="O13" s="52">
        <f t="shared" si="6"/>
        <v>5.7300921582694082E-4</v>
      </c>
      <c r="P13" s="52">
        <f t="shared" si="1"/>
        <v>5.4239921498078358E-5</v>
      </c>
      <c r="Q13" s="52">
        <f t="shared" si="2"/>
        <v>10.56434449019698</v>
      </c>
      <c r="R13" s="52">
        <v>64.896666666666647</v>
      </c>
      <c r="S13" s="52">
        <v>9.5866666666666678</v>
      </c>
      <c r="T13" s="52">
        <v>18.676666666666666</v>
      </c>
      <c r="U13" s="52">
        <v>6.8233333333333333</v>
      </c>
      <c r="V13" s="52">
        <v>0</v>
      </c>
      <c r="W13" s="52">
        <v>0</v>
      </c>
      <c r="X13" s="52">
        <v>0</v>
      </c>
      <c r="Y13" s="52">
        <v>6.3872734324553537</v>
      </c>
      <c r="Z13" s="52">
        <f t="shared" si="3"/>
        <v>63.872734324553541</v>
      </c>
      <c r="AA13" s="52">
        <f t="shared" si="4"/>
        <v>56.23726483365715</v>
      </c>
      <c r="AB13" s="516">
        <v>68.200000000000017</v>
      </c>
      <c r="AC13" s="516">
        <v>47.604127242155954</v>
      </c>
      <c r="AD13" s="513">
        <v>0</v>
      </c>
      <c r="AE13" s="513">
        <v>0</v>
      </c>
      <c r="AF13" s="513">
        <v>0.34429883752063561</v>
      </c>
      <c r="AG13" s="517">
        <v>1.7174388653789685</v>
      </c>
      <c r="AH13" s="517">
        <v>0.7804159475918927</v>
      </c>
      <c r="AI13" s="517">
        <v>1.2787680616340393</v>
      </c>
      <c r="AJ13" s="517">
        <v>1.5174706109283664</v>
      </c>
      <c r="AK13" s="517">
        <v>2.2949147602072517</v>
      </c>
      <c r="AL13" s="517">
        <v>3.5944893519351848</v>
      </c>
      <c r="AM13" s="517">
        <v>0.80416852131866667</v>
      </c>
      <c r="AN13" s="517">
        <v>4.0909903959102527</v>
      </c>
      <c r="AO13" s="517">
        <v>2.9955308727398906</v>
      </c>
      <c r="AP13" s="517">
        <v>1.2775623761928294</v>
      </c>
      <c r="AQ13" s="517">
        <v>1.3152435989931501</v>
      </c>
      <c r="AR13" s="517">
        <v>3.2854817467143778</v>
      </c>
      <c r="AS13" s="517">
        <v>3.2792437361240649</v>
      </c>
      <c r="AT13" s="28">
        <v>4.604792555850727</v>
      </c>
      <c r="AU13" s="517">
        <v>0.35896773906925539</v>
      </c>
      <c r="AV13" s="517">
        <v>1.0076320348869532</v>
      </c>
      <c r="AW13" s="517">
        <v>1.9460843372548495</v>
      </c>
      <c r="AX13" s="517">
        <v>1.7850198949676979</v>
      </c>
      <c r="AY13" s="517">
        <v>0.57779417281104506</v>
      </c>
      <c r="AZ13" s="518">
        <v>0</v>
      </c>
      <c r="BA13" s="518">
        <v>1.6352277035108397E-2</v>
      </c>
      <c r="BB13" s="518">
        <v>0</v>
      </c>
      <c r="BC13" s="518">
        <v>0</v>
      </c>
      <c r="BD13" s="518">
        <v>0</v>
      </c>
      <c r="BE13" s="518">
        <v>3.2362932683689456E-2</v>
      </c>
      <c r="BF13" s="518">
        <v>0</v>
      </c>
      <c r="BG13" s="518">
        <v>4.9588242151034377E-2</v>
      </c>
      <c r="BH13" s="518">
        <v>0</v>
      </c>
      <c r="BI13" s="518">
        <v>0</v>
      </c>
      <c r="BJ13" s="518">
        <v>3.7135346719993891E-2</v>
      </c>
      <c r="BK13" s="518">
        <v>0</v>
      </c>
      <c r="BL13" s="518">
        <v>1.7647989405084108E-2</v>
      </c>
      <c r="BM13" s="518">
        <v>0</v>
      </c>
      <c r="BN13" s="518">
        <v>2.3016955195926603E-2</v>
      </c>
      <c r="BO13" s="518">
        <v>0.1126985689614808</v>
      </c>
      <c r="BP13" s="518">
        <v>0</v>
      </c>
      <c r="BQ13" s="518">
        <v>0</v>
      </c>
      <c r="BR13" s="518">
        <v>0</v>
      </c>
      <c r="BS13" s="518">
        <v>0.3309059848148681</v>
      </c>
      <c r="BT13" s="518">
        <v>5.5877014341731097E-2</v>
      </c>
      <c r="BU13" s="518">
        <v>3.2064656806420434E-2</v>
      </c>
      <c r="BV13" s="518">
        <v>0</v>
      </c>
      <c r="BW13" s="518">
        <v>0</v>
      </c>
      <c r="BX13" s="518">
        <v>2.3742319028825502E-2</v>
      </c>
      <c r="BY13" s="518">
        <v>0</v>
      </c>
      <c r="BZ13" s="518">
        <v>9.1123280505687812E-2</v>
      </c>
      <c r="CA13" s="518">
        <v>0</v>
      </c>
      <c r="CB13" s="518">
        <v>2.923103597236467E-2</v>
      </c>
      <c r="CC13" s="518">
        <v>0</v>
      </c>
      <c r="CD13" s="518">
        <v>0</v>
      </c>
    </row>
    <row r="14" spans="1:82" x14ac:dyDescent="0.3">
      <c r="A14" s="513">
        <v>2017</v>
      </c>
      <c r="B14" s="514" t="s">
        <v>1656</v>
      </c>
      <c r="C14" s="513" t="s">
        <v>13</v>
      </c>
      <c r="D14" s="513" t="s">
        <v>2</v>
      </c>
      <c r="E14" s="513" t="s">
        <v>1527</v>
      </c>
      <c r="F14" s="515" t="s">
        <v>1511</v>
      </c>
      <c r="G14" s="15" t="s">
        <v>1540</v>
      </c>
      <c r="H14" s="15" t="s">
        <v>1563</v>
      </c>
      <c r="I14" s="16">
        <v>43026</v>
      </c>
      <c r="J14" s="149">
        <v>0.64583333333333337</v>
      </c>
      <c r="K14" s="156">
        <v>0.91541305667457695</v>
      </c>
      <c r="L14" s="156">
        <v>9.2841060866246897E-2</v>
      </c>
      <c r="M14" s="52">
        <f t="shared" si="5"/>
        <v>9.1541305667457706</v>
      </c>
      <c r="N14" s="52">
        <f t="shared" si="9"/>
        <v>0.92841060866246894</v>
      </c>
      <c r="O14" s="52">
        <f t="shared" ref="O14:O19" si="10">M14/12/1000</f>
        <v>7.628442138954808E-4</v>
      </c>
      <c r="P14" s="52">
        <f t="shared" si="1"/>
        <v>6.631504347589063E-5</v>
      </c>
      <c r="Q14" s="52">
        <f t="shared" ref="Q14:Q19" si="11">O14/P14</f>
        <v>11.503335803026639</v>
      </c>
      <c r="R14" s="52">
        <v>90.29</v>
      </c>
      <c r="S14" s="52">
        <v>8.9533333333333349</v>
      </c>
      <c r="T14" s="52">
        <v>0.73666666666666669</v>
      </c>
      <c r="U14" s="52">
        <v>0</v>
      </c>
      <c r="V14" s="52">
        <v>0</v>
      </c>
      <c r="W14" s="52">
        <v>0</v>
      </c>
      <c r="X14" s="52">
        <v>0</v>
      </c>
      <c r="Y14" s="52">
        <v>10.113832409921768</v>
      </c>
      <c r="Z14" s="52">
        <f t="shared" si="3"/>
        <v>101.13832409921768</v>
      </c>
      <c r="AA14" s="52">
        <f t="shared" si="4"/>
        <v>91.055782923809446</v>
      </c>
      <c r="AB14" s="516">
        <v>70.26666666666668</v>
      </c>
      <c r="AC14" s="516">
        <v>51.201834327575156</v>
      </c>
      <c r="AD14" s="513">
        <v>0.40323686768026423</v>
      </c>
      <c r="AE14" s="513">
        <v>0</v>
      </c>
      <c r="AF14" s="513">
        <v>1.3283096817702822</v>
      </c>
      <c r="AG14" s="517">
        <v>2.1738624322568807</v>
      </c>
      <c r="AH14" s="517">
        <v>0.94124762938113071</v>
      </c>
      <c r="AI14" s="517">
        <v>1.4367241015457952</v>
      </c>
      <c r="AJ14" s="517">
        <v>1.3987034389814208</v>
      </c>
      <c r="AK14" s="517">
        <v>2.2755444854626035</v>
      </c>
      <c r="AL14" s="517">
        <v>3.611907310597823</v>
      </c>
      <c r="AM14" s="517">
        <v>1.0828257668978232</v>
      </c>
      <c r="AN14" s="517">
        <v>4.6617844530179564</v>
      </c>
      <c r="AO14" s="517">
        <v>3.5924655360161681</v>
      </c>
      <c r="AP14" s="517">
        <v>1.5566770008120032</v>
      </c>
      <c r="AQ14" s="517">
        <v>1.8494015583749299</v>
      </c>
      <c r="AR14" s="517">
        <v>4.3109705386829038</v>
      </c>
      <c r="AS14" s="517">
        <v>3.642676373414921</v>
      </c>
      <c r="AT14" s="28">
        <v>5.3708659600390174</v>
      </c>
      <c r="AU14" s="517">
        <v>0.42312943551033888</v>
      </c>
      <c r="AV14" s="517">
        <v>1.2019328536716274</v>
      </c>
      <c r="AW14" s="517">
        <v>2.3150511580567241</v>
      </c>
      <c r="AX14" s="517">
        <v>2.1499800535535987</v>
      </c>
      <c r="AY14" s="517">
        <v>0.69218435918447851</v>
      </c>
      <c r="AZ14" s="518">
        <v>0</v>
      </c>
      <c r="BA14" s="518">
        <v>2.8112195231229181E-2</v>
      </c>
      <c r="BB14" s="518">
        <v>0</v>
      </c>
      <c r="BC14" s="518">
        <v>0</v>
      </c>
      <c r="BD14" s="518">
        <v>2.7414678999975566E-2</v>
      </c>
      <c r="BE14" s="518">
        <v>6.4344599493307925E-2</v>
      </c>
      <c r="BF14" s="518">
        <v>2.8411312593171881E-2</v>
      </c>
      <c r="BG14" s="518">
        <v>7.1170839544791767E-2</v>
      </c>
      <c r="BH14" s="518">
        <v>3.5208277328380472E-2</v>
      </c>
      <c r="BI14" s="518">
        <v>0</v>
      </c>
      <c r="BJ14" s="518">
        <v>0</v>
      </c>
      <c r="BK14" s="518">
        <v>0</v>
      </c>
      <c r="BL14" s="518">
        <v>1.3639242568651891E-2</v>
      </c>
      <c r="BM14" s="518">
        <v>0</v>
      </c>
      <c r="BN14" s="518">
        <v>1.5723645087449192E-2</v>
      </c>
      <c r="BO14" s="518">
        <v>6.9646231986770613E-2</v>
      </c>
      <c r="BP14" s="518">
        <v>0</v>
      </c>
      <c r="BQ14" s="518">
        <v>0</v>
      </c>
      <c r="BR14" s="518">
        <v>0</v>
      </c>
      <c r="BS14" s="518">
        <v>0.41911051915573044</v>
      </c>
      <c r="BT14" s="518">
        <v>6.2622701760388408E-2</v>
      </c>
      <c r="BU14" s="518">
        <v>2.9861331736683046E-2</v>
      </c>
      <c r="BV14" s="518">
        <v>0</v>
      </c>
      <c r="BW14" s="518">
        <v>0</v>
      </c>
      <c r="BX14" s="518">
        <v>6.4105305603753757E-2</v>
      </c>
      <c r="BY14" s="518">
        <v>0</v>
      </c>
      <c r="BZ14" s="518">
        <v>7.6397883623744486E-2</v>
      </c>
      <c r="CA14" s="518">
        <v>0</v>
      </c>
      <c r="CB14" s="518">
        <v>0</v>
      </c>
      <c r="CC14" s="518">
        <v>0</v>
      </c>
      <c r="CD14" s="518">
        <v>0</v>
      </c>
    </row>
    <row r="15" spans="1:82" x14ac:dyDescent="0.3">
      <c r="A15" s="513">
        <v>2017</v>
      </c>
      <c r="B15" s="514" t="s">
        <v>1656</v>
      </c>
      <c r="C15" s="513" t="s">
        <v>13</v>
      </c>
      <c r="D15" s="513" t="s">
        <v>2</v>
      </c>
      <c r="E15" s="513" t="s">
        <v>1526</v>
      </c>
      <c r="F15" s="515" t="s">
        <v>1512</v>
      </c>
      <c r="G15" s="15" t="s">
        <v>1541</v>
      </c>
      <c r="H15" s="15" t="s">
        <v>1564</v>
      </c>
      <c r="I15" s="16">
        <v>43025</v>
      </c>
      <c r="J15" s="149">
        <v>0.40277777777777773</v>
      </c>
      <c r="K15" s="156">
        <v>0.35774515755201097</v>
      </c>
      <c r="L15" s="156">
        <v>4.2984163327609202E-2</v>
      </c>
      <c r="M15" s="52">
        <f t="shared" si="5"/>
        <v>3.5774515755201097</v>
      </c>
      <c r="N15" s="52">
        <f t="shared" ref="N15:N19" si="12">1000*L15/100</f>
        <v>0.42984163327609204</v>
      </c>
      <c r="O15" s="52">
        <f t="shared" si="10"/>
        <v>2.9812096462667582E-4</v>
      </c>
      <c r="P15" s="52">
        <f t="shared" si="1"/>
        <v>3.0702973805435146E-5</v>
      </c>
      <c r="Q15" s="52">
        <f t="shared" si="11"/>
        <v>9.7098400472823716</v>
      </c>
      <c r="R15" s="52">
        <v>59.769999999999989</v>
      </c>
      <c r="S15" s="52">
        <v>8.3933333333333326</v>
      </c>
      <c r="T15" s="52">
        <v>19.693333333333332</v>
      </c>
      <c r="U15" s="52">
        <v>11.956666666666669</v>
      </c>
      <c r="V15" s="52">
        <v>0.21000000000000005</v>
      </c>
      <c r="W15" s="52">
        <v>0</v>
      </c>
      <c r="X15" s="52">
        <v>0</v>
      </c>
      <c r="Y15" s="52">
        <v>6.0170145137541979</v>
      </c>
      <c r="Z15" s="52">
        <f t="shared" si="3"/>
        <v>60.170145137541979</v>
      </c>
      <c r="AA15" s="52">
        <f t="shared" si="4"/>
        <v>56.162851928745781</v>
      </c>
      <c r="AB15" s="516">
        <v>67.688888888888911</v>
      </c>
      <c r="AC15" s="516">
        <v>46.629181662454329</v>
      </c>
      <c r="AD15" s="513">
        <v>0.21220056367772641</v>
      </c>
      <c r="AE15" s="513">
        <v>0</v>
      </c>
      <c r="AF15" s="513">
        <v>1.1225102281502921</v>
      </c>
      <c r="AG15" s="517">
        <v>1.4583267095865737</v>
      </c>
      <c r="AH15" s="517">
        <v>0.60214190947862045</v>
      </c>
      <c r="AI15" s="517">
        <v>0.94188606790370166</v>
      </c>
      <c r="AJ15" s="517">
        <v>1.1061704382047193</v>
      </c>
      <c r="AK15" s="517">
        <v>1.6145070015084548</v>
      </c>
      <c r="AL15" s="517">
        <v>2.5688265704137359</v>
      </c>
      <c r="AM15" s="517">
        <v>0.64380244518059915</v>
      </c>
      <c r="AN15" s="517">
        <v>3.2105802028935981</v>
      </c>
      <c r="AO15" s="517">
        <v>2.487004616425128</v>
      </c>
      <c r="AP15" s="517">
        <v>0.98352313601869124</v>
      </c>
      <c r="AQ15" s="517">
        <v>0.84845552877572006</v>
      </c>
      <c r="AR15" s="517">
        <v>2.6946152705737147</v>
      </c>
      <c r="AS15" s="517">
        <v>2.6548988659342094</v>
      </c>
      <c r="AT15" s="28">
        <v>3.7229975965569024</v>
      </c>
      <c r="AU15" s="517">
        <v>0.30064136166843758</v>
      </c>
      <c r="AV15" s="517">
        <v>0.78786050800465934</v>
      </c>
      <c r="AW15" s="517">
        <v>1.4881362810215368</v>
      </c>
      <c r="AX15" s="517">
        <v>1.4966866650530219</v>
      </c>
      <c r="AY15" s="517">
        <v>0.4400128820669667</v>
      </c>
      <c r="AZ15" s="518">
        <v>0</v>
      </c>
      <c r="BA15" s="518">
        <v>0</v>
      </c>
      <c r="BB15" s="518">
        <v>0</v>
      </c>
      <c r="BC15" s="518">
        <v>0</v>
      </c>
      <c r="BD15" s="518">
        <v>0</v>
      </c>
      <c r="BE15" s="518">
        <v>0</v>
      </c>
      <c r="BF15" s="518">
        <v>0</v>
      </c>
      <c r="BG15" s="518">
        <v>0</v>
      </c>
      <c r="BH15" s="518">
        <v>0</v>
      </c>
      <c r="BI15" s="518">
        <v>0</v>
      </c>
      <c r="BJ15" s="518">
        <v>0</v>
      </c>
      <c r="BK15" s="518">
        <v>0</v>
      </c>
      <c r="BL15" s="518">
        <v>1.6473778423692464E-2</v>
      </c>
      <c r="BM15" s="518">
        <v>0</v>
      </c>
      <c r="BN15" s="518">
        <v>1.5596476614146714E-2</v>
      </c>
      <c r="BO15" s="518">
        <v>6.0582563848076143E-2</v>
      </c>
      <c r="BP15" s="518">
        <v>0</v>
      </c>
      <c r="BQ15" s="518">
        <v>0</v>
      </c>
      <c r="BR15" s="518">
        <v>0</v>
      </c>
      <c r="BS15" s="518">
        <v>0.30684246180143243</v>
      </c>
      <c r="BT15" s="518">
        <v>4.4498697339737346E-2</v>
      </c>
      <c r="BU15" s="518">
        <v>0</v>
      </c>
      <c r="BV15" s="518">
        <v>0</v>
      </c>
      <c r="BW15" s="518">
        <v>0</v>
      </c>
      <c r="BX15" s="518">
        <v>2.5765202133881577E-2</v>
      </c>
      <c r="BY15" s="518">
        <v>0</v>
      </c>
      <c r="BZ15" s="518">
        <v>0</v>
      </c>
      <c r="CA15" s="518">
        <v>0</v>
      </c>
      <c r="CB15" s="518">
        <v>0</v>
      </c>
      <c r="CC15" s="518">
        <v>0</v>
      </c>
      <c r="CD15" s="518">
        <v>0</v>
      </c>
    </row>
    <row r="16" spans="1:82" x14ac:dyDescent="0.3">
      <c r="A16" s="513">
        <v>2017</v>
      </c>
      <c r="B16" s="514" t="s">
        <v>1656</v>
      </c>
      <c r="C16" s="513" t="s">
        <v>14</v>
      </c>
      <c r="D16" s="513" t="s">
        <v>2</v>
      </c>
      <c r="E16" s="513" t="s">
        <v>165</v>
      </c>
      <c r="F16" s="515" t="s">
        <v>1513</v>
      </c>
      <c r="G16" s="15" t="s">
        <v>1542</v>
      </c>
      <c r="H16" s="15" t="s">
        <v>1565</v>
      </c>
      <c r="I16" s="16">
        <v>43024</v>
      </c>
      <c r="J16" s="149">
        <v>0.39583333333333331</v>
      </c>
      <c r="K16" s="156">
        <v>0.25361183157662398</v>
      </c>
      <c r="L16" s="156">
        <v>3.3825605800419802E-2</v>
      </c>
      <c r="M16" s="52">
        <f t="shared" si="5"/>
        <v>2.5361183157662399</v>
      </c>
      <c r="N16" s="52">
        <f t="shared" si="12"/>
        <v>0.338256058004198</v>
      </c>
      <c r="O16" s="52">
        <f t="shared" si="10"/>
        <v>2.1134319298051998E-4</v>
      </c>
      <c r="P16" s="52">
        <f t="shared" si="1"/>
        <v>2.416114700029986E-5</v>
      </c>
      <c r="Q16" s="52">
        <f t="shared" si="11"/>
        <v>8.7472334396167959</v>
      </c>
      <c r="R16" s="52">
        <v>34.896666666666668</v>
      </c>
      <c r="S16" s="52">
        <v>13.660000000000002</v>
      </c>
      <c r="T16" s="52">
        <v>38.696666666666665</v>
      </c>
      <c r="U16" s="52">
        <v>12.75</v>
      </c>
      <c r="V16" s="52">
        <v>2.6666666666666668E-2</v>
      </c>
      <c r="W16" s="52">
        <v>0</v>
      </c>
      <c r="X16" s="52">
        <v>0</v>
      </c>
      <c r="Y16" s="52">
        <v>1.2694221863186366</v>
      </c>
      <c r="Z16" s="52">
        <f t="shared" si="3"/>
        <v>12.694221863186364</v>
      </c>
      <c r="AA16" s="52">
        <f t="shared" si="4"/>
        <v>9.8198474894159258</v>
      </c>
      <c r="AB16" s="516">
        <v>55.533333333333324</v>
      </c>
      <c r="AC16" s="516">
        <v>33.577923220900807</v>
      </c>
      <c r="AD16" s="513">
        <v>0</v>
      </c>
      <c r="AE16" s="513">
        <v>0</v>
      </c>
      <c r="AF16" s="513">
        <v>0.25326035641432626</v>
      </c>
      <c r="AG16" s="517">
        <v>0.45983185020172151</v>
      </c>
      <c r="AH16" s="517">
        <v>0.19312842272148972</v>
      </c>
      <c r="AI16" s="517">
        <v>0.21738077689466828</v>
      </c>
      <c r="AJ16" s="517">
        <v>0.4699782587918036</v>
      </c>
      <c r="AK16" s="517">
        <v>0.58094429358918809</v>
      </c>
      <c r="AL16" s="517">
        <v>0.93649926081260348</v>
      </c>
      <c r="AM16" s="517">
        <v>0.24732543994420592</v>
      </c>
      <c r="AN16" s="517">
        <v>1.0520138304390438</v>
      </c>
      <c r="AO16" s="517">
        <v>0.88601034923202759</v>
      </c>
      <c r="AP16" s="517">
        <v>0.36110753136166618</v>
      </c>
      <c r="AQ16" s="517">
        <v>0.39591301543378399</v>
      </c>
      <c r="AR16" s="517">
        <v>0.9375</v>
      </c>
      <c r="AS16" s="517">
        <v>0.4123</v>
      </c>
      <c r="AT16" s="28">
        <v>1.3092033194778325</v>
      </c>
      <c r="AU16" s="517">
        <v>0.10487954794462678</v>
      </c>
      <c r="AV16" s="517">
        <v>0.21780265529280168</v>
      </c>
      <c r="AW16" s="517">
        <v>0.48108186785981533</v>
      </c>
      <c r="AX16" s="517">
        <v>0.5428167547140369</v>
      </c>
      <c r="AY16" s="517">
        <v>0.13856534152046796</v>
      </c>
      <c r="AZ16" s="518">
        <v>0</v>
      </c>
      <c r="BA16" s="518">
        <v>9.0056731870340519E-3</v>
      </c>
      <c r="BB16" s="518">
        <v>0</v>
      </c>
      <c r="BC16" s="518">
        <v>0</v>
      </c>
      <c r="BD16" s="518">
        <v>0</v>
      </c>
      <c r="BE16" s="518">
        <v>2.4884705570746377E-2</v>
      </c>
      <c r="BF16" s="518">
        <v>0</v>
      </c>
      <c r="BG16" s="518">
        <v>0</v>
      </c>
      <c r="BH16" s="518">
        <v>0</v>
      </c>
      <c r="BI16" s="518">
        <v>0</v>
      </c>
      <c r="BJ16" s="518">
        <v>0</v>
      </c>
      <c r="BK16" s="518">
        <v>0</v>
      </c>
      <c r="BL16" s="518">
        <v>1.2719877382816457E-2</v>
      </c>
      <c r="BM16" s="518">
        <v>0</v>
      </c>
      <c r="BN16" s="518">
        <v>0</v>
      </c>
      <c r="BO16" s="518">
        <v>0</v>
      </c>
      <c r="BP16" s="518">
        <v>0</v>
      </c>
      <c r="BQ16" s="518">
        <v>0</v>
      </c>
      <c r="BR16" s="518">
        <v>0</v>
      </c>
      <c r="BS16" s="518">
        <v>0.14252494800065441</v>
      </c>
      <c r="BT16" s="518">
        <v>2.9186336831117033E-2</v>
      </c>
      <c r="BU16" s="518">
        <v>2.1970697297592063E-2</v>
      </c>
      <c r="BV16" s="518">
        <v>0</v>
      </c>
      <c r="BW16" s="518">
        <v>0</v>
      </c>
      <c r="BX16" s="518">
        <v>1.1993444576877238E-2</v>
      </c>
      <c r="BY16" s="518">
        <v>0</v>
      </c>
      <c r="BZ16" s="518">
        <v>0</v>
      </c>
      <c r="CA16" s="518">
        <v>0</v>
      </c>
      <c r="CB16" s="518">
        <v>1.3598705274720138E-2</v>
      </c>
      <c r="CC16" s="518">
        <v>0</v>
      </c>
      <c r="CD16" s="518">
        <v>0</v>
      </c>
    </row>
    <row r="17" spans="1:82" x14ac:dyDescent="0.3">
      <c r="A17" s="513">
        <v>2017</v>
      </c>
      <c r="B17" s="514" t="s">
        <v>1656</v>
      </c>
      <c r="C17" s="513" t="s">
        <v>14</v>
      </c>
      <c r="D17" s="513" t="s">
        <v>2</v>
      </c>
      <c r="E17" s="513" t="s">
        <v>166</v>
      </c>
      <c r="F17" s="515" t="s">
        <v>1514</v>
      </c>
      <c r="G17" s="15" t="s">
        <v>1543</v>
      </c>
      <c r="H17" s="15" t="s">
        <v>1566</v>
      </c>
      <c r="I17" s="16">
        <v>43024</v>
      </c>
      <c r="J17" s="149">
        <v>0.43194444444444446</v>
      </c>
      <c r="K17" s="156">
        <v>0.245113404337509</v>
      </c>
      <c r="L17" s="156">
        <v>3.25853844686129E-2</v>
      </c>
      <c r="M17" s="52">
        <f t="shared" si="5"/>
        <v>2.4511340433750903</v>
      </c>
      <c r="N17" s="52">
        <f t="shared" si="12"/>
        <v>0.32585384468612899</v>
      </c>
      <c r="O17" s="52">
        <f t="shared" si="10"/>
        <v>2.0426117028125753E-4</v>
      </c>
      <c r="P17" s="52">
        <f t="shared" si="1"/>
        <v>2.3275274620437786E-5</v>
      </c>
      <c r="Q17" s="52">
        <f t="shared" si="11"/>
        <v>8.7758865840361704</v>
      </c>
      <c r="R17" s="52">
        <v>35.993333333333332</v>
      </c>
      <c r="S17" s="52">
        <v>19.026666666666667</v>
      </c>
      <c r="T17" s="52">
        <v>24.189999999999998</v>
      </c>
      <c r="U17" s="52">
        <v>13.463333333333333</v>
      </c>
      <c r="V17" s="52">
        <v>1.2799999999999998</v>
      </c>
      <c r="W17" s="52">
        <v>0.31666666666666671</v>
      </c>
      <c r="X17" s="52">
        <v>0.17333333333333334</v>
      </c>
      <c r="Y17" s="52">
        <v>3.8382798387578592</v>
      </c>
      <c r="Z17" s="52">
        <f t="shared" si="3"/>
        <v>38.382798387578589</v>
      </c>
      <c r="AA17" s="52">
        <f t="shared" si="4"/>
        <v>35.605810499517368</v>
      </c>
      <c r="AB17" s="516">
        <v>56.955555555555563</v>
      </c>
      <c r="AC17" s="516">
        <v>34.697684745202842</v>
      </c>
      <c r="AD17" s="513">
        <v>0</v>
      </c>
      <c r="AE17" s="513">
        <v>0</v>
      </c>
      <c r="AF17" s="513">
        <v>0.22271470155747122</v>
      </c>
      <c r="AG17" s="517">
        <v>0.52874186655024158</v>
      </c>
      <c r="AH17" s="517">
        <v>0.24441672283639843</v>
      </c>
      <c r="AI17" s="517">
        <v>0.30623178321438632</v>
      </c>
      <c r="AJ17" s="517">
        <v>0.48655977415135637</v>
      </c>
      <c r="AK17" s="517">
        <v>0.71655391885217024</v>
      </c>
      <c r="AL17" s="517">
        <v>1.0969560989286944</v>
      </c>
      <c r="AM17" s="517">
        <v>0.31937138772035861</v>
      </c>
      <c r="AN17" s="517">
        <v>1.3656683561118721</v>
      </c>
      <c r="AO17" s="517">
        <v>1.0805192048392305</v>
      </c>
      <c r="AP17" s="517">
        <v>0.43939602283412926</v>
      </c>
      <c r="AQ17" s="517">
        <v>0.409462925307779</v>
      </c>
      <c r="AR17" s="517">
        <v>1.1837959875997137</v>
      </c>
      <c r="AS17" s="517">
        <v>1.0565470923998175</v>
      </c>
      <c r="AT17" s="28">
        <v>1.4593164461643982</v>
      </c>
      <c r="AU17" s="517">
        <v>0.13714479351134193</v>
      </c>
      <c r="AV17" s="517">
        <v>0.2844870653777789</v>
      </c>
      <c r="AW17" s="517">
        <v>0.59717044834562261</v>
      </c>
      <c r="AX17" s="517">
        <v>0.58654519544381956</v>
      </c>
      <c r="AY17" s="517">
        <v>0.1719512695888693</v>
      </c>
      <c r="AZ17" s="518">
        <v>0</v>
      </c>
      <c r="BA17" s="518">
        <v>0</v>
      </c>
      <c r="BB17" s="518">
        <v>0</v>
      </c>
      <c r="BC17" s="518">
        <v>0</v>
      </c>
      <c r="BD17" s="518">
        <v>0</v>
      </c>
      <c r="BE17" s="518">
        <v>0</v>
      </c>
      <c r="BF17" s="518">
        <v>0</v>
      </c>
      <c r="BG17" s="518">
        <v>0</v>
      </c>
      <c r="BH17" s="518">
        <v>0</v>
      </c>
      <c r="BI17" s="518">
        <v>0</v>
      </c>
      <c r="BJ17" s="518">
        <v>0</v>
      </c>
      <c r="BK17" s="518">
        <v>0</v>
      </c>
      <c r="BL17" s="518">
        <v>1.3685928343594689E-2</v>
      </c>
      <c r="BM17" s="518">
        <v>0</v>
      </c>
      <c r="BN17" s="518">
        <v>0</v>
      </c>
      <c r="BO17" s="518">
        <v>0</v>
      </c>
      <c r="BP17" s="518">
        <v>0</v>
      </c>
      <c r="BQ17" s="518">
        <v>0</v>
      </c>
      <c r="BR17" s="518">
        <v>0</v>
      </c>
      <c r="BS17" s="518">
        <v>9.6544766708701116E-2</v>
      </c>
      <c r="BT17" s="518">
        <v>2.2049551220235886E-2</v>
      </c>
      <c r="BU17" s="518">
        <v>0</v>
      </c>
      <c r="BV17" s="518">
        <v>0</v>
      </c>
      <c r="BW17" s="518">
        <v>0</v>
      </c>
      <c r="BX17" s="518">
        <v>1.2486956951759267E-2</v>
      </c>
      <c r="BY17" s="518">
        <v>0</v>
      </c>
      <c r="BZ17" s="518">
        <v>4.0398832925351728E-2</v>
      </c>
      <c r="CA17" s="518">
        <v>0</v>
      </c>
      <c r="CB17" s="518">
        <v>1.4294191825532231E-2</v>
      </c>
      <c r="CC17" s="518">
        <v>0</v>
      </c>
      <c r="CD17" s="518">
        <v>0</v>
      </c>
    </row>
    <row r="18" spans="1:82" x14ac:dyDescent="0.3">
      <c r="A18" s="513">
        <v>2018</v>
      </c>
      <c r="B18" s="514" t="s">
        <v>1656</v>
      </c>
      <c r="C18" s="513" t="s">
        <v>3</v>
      </c>
      <c r="D18" s="513" t="s">
        <v>2</v>
      </c>
      <c r="E18" s="513" t="s">
        <v>1524</v>
      </c>
      <c r="F18" s="515" t="s">
        <v>1515</v>
      </c>
      <c r="G18" s="15" t="s">
        <v>1544</v>
      </c>
      <c r="H18" s="15" t="s">
        <v>1551</v>
      </c>
      <c r="I18" s="16">
        <v>43397</v>
      </c>
      <c r="J18" s="149">
        <v>0.39930555555555558</v>
      </c>
      <c r="K18" s="156">
        <v>0.47312399999999999</v>
      </c>
      <c r="L18" s="156">
        <v>6.3890000000000002E-2</v>
      </c>
      <c r="M18" s="52">
        <f t="shared" si="5"/>
        <v>4.7312400000000006</v>
      </c>
      <c r="N18" s="52">
        <f t="shared" si="12"/>
        <v>0.63890000000000002</v>
      </c>
      <c r="O18" s="52">
        <f t="shared" si="10"/>
        <v>3.9427000000000006E-4</v>
      </c>
      <c r="P18" s="52">
        <f t="shared" si="1"/>
        <v>4.5635714285714289E-5</v>
      </c>
      <c r="Q18" s="52">
        <f t="shared" si="11"/>
        <v>8.6395053999060902</v>
      </c>
      <c r="R18" s="52">
        <v>74.83</v>
      </c>
      <c r="S18" s="52">
        <v>14.6</v>
      </c>
      <c r="T18" s="52">
        <v>6.120000000000001</v>
      </c>
      <c r="U18" s="52">
        <v>3.0300000000000002</v>
      </c>
      <c r="V18" s="52">
        <v>1.3800000000000001</v>
      </c>
      <c r="W18" s="52">
        <v>7.0000000000000007E-2</v>
      </c>
      <c r="X18" s="52">
        <v>0</v>
      </c>
      <c r="Y18" s="52"/>
      <c r="Z18" s="52"/>
      <c r="AA18" s="52"/>
      <c r="AB18" s="516">
        <v>66.881069024040556</v>
      </c>
      <c r="AC18" s="516">
        <v>45.2</v>
      </c>
      <c r="AD18" s="513">
        <v>0.17437557342539858</v>
      </c>
      <c r="AE18" s="513">
        <v>0</v>
      </c>
      <c r="AF18" s="513">
        <v>0.64757581373137485</v>
      </c>
      <c r="AG18" s="519">
        <v>3.0935352513587242</v>
      </c>
      <c r="AH18" s="519">
        <v>1.1320684554660418</v>
      </c>
      <c r="AI18" s="519">
        <v>1.3453193408945618</v>
      </c>
      <c r="AJ18" s="519">
        <v>2.0353570028187202</v>
      </c>
      <c r="AK18" s="519">
        <v>2.812700088802091</v>
      </c>
      <c r="AL18" s="519">
        <v>3.353711301602845</v>
      </c>
      <c r="AM18" s="519">
        <v>0.88095727957808267</v>
      </c>
      <c r="AN18" s="519">
        <v>4.5139535365949994</v>
      </c>
      <c r="AO18" s="519">
        <v>3.5450061370355779</v>
      </c>
      <c r="AP18" s="519">
        <v>0.64393168550729463</v>
      </c>
      <c r="AQ18" s="519">
        <v>0.77636167266530365</v>
      </c>
      <c r="AR18" s="519">
        <v>3.5175536733463315</v>
      </c>
      <c r="AS18" s="519">
        <v>4.0450546175825508</v>
      </c>
      <c r="AT18" s="520">
        <v>6.1209120186816852</v>
      </c>
      <c r="AU18" s="519">
        <v>0.26023625599767086</v>
      </c>
      <c r="AV18" s="519">
        <v>0.98606847155079635</v>
      </c>
      <c r="AW18" s="519">
        <v>2.1955470870491065</v>
      </c>
      <c r="AX18" s="519">
        <v>1.4445686813015133</v>
      </c>
      <c r="AY18" s="519">
        <v>0.48672817232836474</v>
      </c>
      <c r="AZ18" s="518">
        <v>0</v>
      </c>
      <c r="BA18" s="518">
        <v>0</v>
      </c>
      <c r="BB18" s="518">
        <v>0</v>
      </c>
      <c r="BC18" s="518">
        <v>0</v>
      </c>
      <c r="BD18" s="518">
        <v>0</v>
      </c>
      <c r="BE18" s="518">
        <v>4.5301019867003398E-2</v>
      </c>
      <c r="BF18" s="518">
        <v>3.4443447494021208E-2</v>
      </c>
      <c r="BG18" s="518">
        <v>0</v>
      </c>
      <c r="BH18" s="518">
        <v>0</v>
      </c>
      <c r="BI18" s="518">
        <v>4.1376154178121322E-2</v>
      </c>
      <c r="BJ18" s="518">
        <v>0</v>
      </c>
      <c r="BK18" s="518">
        <v>0</v>
      </c>
      <c r="BL18" s="518">
        <v>0</v>
      </c>
      <c r="BM18" s="518">
        <v>0</v>
      </c>
      <c r="BN18" s="518">
        <v>7.3508699444109149E-2</v>
      </c>
      <c r="BO18" s="518">
        <v>0.15527062113119464</v>
      </c>
      <c r="BP18" s="518">
        <v>2.1458377831738453E-2</v>
      </c>
      <c r="BQ18" s="518">
        <v>0</v>
      </c>
      <c r="BR18" s="518">
        <v>0</v>
      </c>
      <c r="BS18" s="518">
        <v>0.32595698642466092</v>
      </c>
      <c r="BT18" s="518">
        <v>4.7098388266584905E-2</v>
      </c>
      <c r="BU18" s="518">
        <v>0</v>
      </c>
      <c r="BV18" s="518">
        <v>0</v>
      </c>
      <c r="BW18" s="518">
        <v>0</v>
      </c>
      <c r="BX18" s="518">
        <v>4.1580247828305598E-2</v>
      </c>
      <c r="BY18" s="518">
        <v>0</v>
      </c>
      <c r="BZ18" s="518">
        <v>6.2320998181407919E-2</v>
      </c>
      <c r="CA18" s="518">
        <v>0</v>
      </c>
      <c r="CB18" s="518">
        <v>0</v>
      </c>
      <c r="CC18" s="518">
        <v>0</v>
      </c>
      <c r="CD18" s="518">
        <v>0</v>
      </c>
    </row>
    <row r="19" spans="1:82" x14ac:dyDescent="0.3">
      <c r="A19" s="513">
        <v>2018</v>
      </c>
      <c r="B19" s="514" t="s">
        <v>1656</v>
      </c>
      <c r="C19" s="513" t="s">
        <v>3</v>
      </c>
      <c r="D19" s="513" t="s">
        <v>2</v>
      </c>
      <c r="E19" s="513" t="s">
        <v>1525</v>
      </c>
      <c r="F19" s="515" t="s">
        <v>1516</v>
      </c>
      <c r="G19" s="15" t="s">
        <v>1545</v>
      </c>
      <c r="H19" s="15" t="s">
        <v>1567</v>
      </c>
      <c r="I19" s="16">
        <v>43397</v>
      </c>
      <c r="J19" s="149">
        <v>0.53125</v>
      </c>
      <c r="K19" s="156">
        <v>0.52354000000000001</v>
      </c>
      <c r="L19" s="156">
        <v>6.198E-2</v>
      </c>
      <c r="M19" s="52">
        <f t="shared" si="5"/>
        <v>5.2354000000000003</v>
      </c>
      <c r="N19" s="52">
        <f t="shared" si="12"/>
        <v>0.61980000000000002</v>
      </c>
      <c r="O19" s="52">
        <f t="shared" si="10"/>
        <v>4.3628333333333336E-4</v>
      </c>
      <c r="P19" s="52">
        <f t="shared" si="1"/>
        <v>4.4271428571428573E-5</v>
      </c>
      <c r="Q19" s="52">
        <f t="shared" si="11"/>
        <v>9.8547380875551251</v>
      </c>
      <c r="R19" s="52">
        <v>79.61</v>
      </c>
      <c r="S19" s="52">
        <v>12.569999999999999</v>
      </c>
      <c r="T19" s="52">
        <v>5.7700000000000014</v>
      </c>
      <c r="U19" s="52">
        <v>2.0299999999999998</v>
      </c>
      <c r="V19" s="52">
        <v>0.01</v>
      </c>
      <c r="W19" s="52">
        <v>0</v>
      </c>
      <c r="X19" s="52">
        <v>0</v>
      </c>
      <c r="Y19" s="52"/>
      <c r="Z19" s="52"/>
      <c r="AA19" s="52"/>
      <c r="AB19" s="516">
        <v>70.06645605561566</v>
      </c>
      <c r="AC19" s="516">
        <v>50.22</v>
      </c>
      <c r="AD19" s="513">
        <v>0.24512361843286679</v>
      </c>
      <c r="AE19" s="513">
        <v>0</v>
      </c>
      <c r="AF19" s="513">
        <v>0.82896350960933129</v>
      </c>
      <c r="AG19" s="519">
        <v>2.0842857847754841</v>
      </c>
      <c r="AH19" s="519">
        <v>0.84187778581096107</v>
      </c>
      <c r="AI19" s="519">
        <v>0.77978146860900255</v>
      </c>
      <c r="AJ19" s="519">
        <v>1.1588603065806673</v>
      </c>
      <c r="AK19" s="519">
        <v>2.2549742112894449</v>
      </c>
      <c r="AL19" s="519">
        <v>2.4525384054563828</v>
      </c>
      <c r="AM19" s="519">
        <v>1.0707727640402909</v>
      </c>
      <c r="AN19" s="519">
        <v>3.8392787176495129</v>
      </c>
      <c r="AO19" s="519">
        <v>3.0312369992900501</v>
      </c>
      <c r="AP19" s="519">
        <v>0.64099064626788504</v>
      </c>
      <c r="AQ19" s="519">
        <v>1.0678781757335747</v>
      </c>
      <c r="AR19" s="519">
        <v>3.7295510306104722</v>
      </c>
      <c r="AS19" s="519">
        <v>3.0725881938385524</v>
      </c>
      <c r="AT19" s="520">
        <v>4.1473117021696666</v>
      </c>
      <c r="AU19" s="519">
        <v>0.27494926870865688</v>
      </c>
      <c r="AV19" s="519">
        <v>0.79707543602038811</v>
      </c>
      <c r="AW19" s="519">
        <v>2.0475097341775617</v>
      </c>
      <c r="AX19" s="519">
        <v>1.4075928687374362</v>
      </c>
      <c r="AY19" s="519">
        <v>0.98094090860600847</v>
      </c>
      <c r="AZ19" s="518">
        <v>0</v>
      </c>
      <c r="BA19" s="518">
        <v>0</v>
      </c>
      <c r="BB19" s="518">
        <v>0</v>
      </c>
      <c r="BC19" s="518">
        <v>0</v>
      </c>
      <c r="BD19" s="518">
        <v>4.745561980404623E-2</v>
      </c>
      <c r="BE19" s="518">
        <v>7.0694516085271164E-2</v>
      </c>
      <c r="BF19" s="518">
        <v>4.4876893114322365E-2</v>
      </c>
      <c r="BG19" s="518">
        <v>5.0810794335928416E-2</v>
      </c>
      <c r="BH19" s="518">
        <v>3.557968816633527E-2</v>
      </c>
      <c r="BI19" s="518">
        <v>0</v>
      </c>
      <c r="BJ19" s="518">
        <v>0</v>
      </c>
      <c r="BK19" s="518">
        <v>0</v>
      </c>
      <c r="BL19" s="518">
        <v>0</v>
      </c>
      <c r="BM19" s="518">
        <v>0</v>
      </c>
      <c r="BN19" s="518">
        <v>0</v>
      </c>
      <c r="BO19" s="518">
        <v>7.5092809195280441E-2</v>
      </c>
      <c r="BP19" s="518">
        <v>3.7617921558778591E-2</v>
      </c>
      <c r="BQ19" s="518">
        <v>0</v>
      </c>
      <c r="BR19" s="518">
        <v>0</v>
      </c>
      <c r="BS19" s="518">
        <v>0.38008637459164402</v>
      </c>
      <c r="BT19" s="518">
        <v>5.8572391172318758E-2</v>
      </c>
      <c r="BU19" s="518">
        <v>1.3516705655150483E-2</v>
      </c>
      <c r="BV19" s="518">
        <v>0</v>
      </c>
      <c r="BW19" s="518">
        <v>0</v>
      </c>
      <c r="BX19" s="518">
        <v>5.1476621940501247E-2</v>
      </c>
      <c r="BY19" s="518">
        <v>0</v>
      </c>
      <c r="BZ19" s="518">
        <v>3.6509408661133974E-2</v>
      </c>
      <c r="CA19" s="518">
        <v>0</v>
      </c>
      <c r="CB19" s="518">
        <v>0</v>
      </c>
      <c r="CC19" s="518">
        <v>0</v>
      </c>
      <c r="CD19" s="518">
        <v>0</v>
      </c>
    </row>
    <row r="20" spans="1:82" x14ac:dyDescent="0.3">
      <c r="A20" s="513">
        <v>2018</v>
      </c>
      <c r="B20" s="514" t="s">
        <v>1656</v>
      </c>
      <c r="C20" s="513" t="s">
        <v>3</v>
      </c>
      <c r="D20" s="513" t="s">
        <v>2</v>
      </c>
      <c r="E20" s="513" t="s">
        <v>168</v>
      </c>
      <c r="F20" s="515" t="s">
        <v>1517</v>
      </c>
      <c r="G20" s="15" t="s">
        <v>1546</v>
      </c>
      <c r="H20" s="15" t="s">
        <v>1568</v>
      </c>
      <c r="I20" s="16">
        <v>43397</v>
      </c>
      <c r="J20" s="149">
        <v>0.55208333333333337</v>
      </c>
      <c r="K20" s="156">
        <v>0.61014699999999999</v>
      </c>
      <c r="L20" s="156">
        <v>7.0889999999999995E-2</v>
      </c>
      <c r="M20" s="52">
        <f t="shared" si="5"/>
        <v>6.1014699999999999</v>
      </c>
      <c r="N20" s="52">
        <f t="shared" ref="N20:N25" si="13">1000*L20/100</f>
        <v>0.70889999999999997</v>
      </c>
      <c r="O20" s="52">
        <f t="shared" ref="O20:O25" si="14">M20/12/1000</f>
        <v>5.0845583333333332E-4</v>
      </c>
      <c r="P20" s="52">
        <f t="shared" si="1"/>
        <v>5.0635714285714281E-5</v>
      </c>
      <c r="Q20" s="52">
        <f t="shared" ref="Q20:Q25" si="15">O20/P20</f>
        <v>10.04144684252598</v>
      </c>
      <c r="R20" s="52">
        <v>30.91</v>
      </c>
      <c r="S20" s="52">
        <v>13.16</v>
      </c>
      <c r="T20" s="52">
        <v>38.569999999999993</v>
      </c>
      <c r="U20" s="52">
        <v>16.569999999999997</v>
      </c>
      <c r="V20" s="52">
        <v>0.59</v>
      </c>
      <c r="W20" s="52">
        <v>0.1</v>
      </c>
      <c r="X20" s="52">
        <v>0.08</v>
      </c>
      <c r="Y20" s="52"/>
      <c r="Z20" s="52"/>
      <c r="AA20" s="52"/>
      <c r="AB20" s="516">
        <v>58.981715011174238</v>
      </c>
      <c r="AC20" s="516">
        <v>40.159999999999997</v>
      </c>
      <c r="AD20" s="513">
        <v>0</v>
      </c>
      <c r="AE20" s="513">
        <v>0</v>
      </c>
      <c r="AF20" s="513">
        <v>0.24353907670986419</v>
      </c>
      <c r="AG20" s="519">
        <v>0.39411717635625854</v>
      </c>
      <c r="AH20" s="519">
        <v>0.16516584151590766</v>
      </c>
      <c r="AI20" s="519">
        <v>0.12621603950591301</v>
      </c>
      <c r="AJ20" s="519">
        <v>0.18764592406959163</v>
      </c>
      <c r="AK20" s="519">
        <v>0.28815819515789892</v>
      </c>
      <c r="AL20" s="519">
        <v>0.43912148432364834</v>
      </c>
      <c r="AM20" s="519">
        <v>0.19116445878561591</v>
      </c>
      <c r="AN20" s="519">
        <v>0.60765763022376185</v>
      </c>
      <c r="AO20" s="519">
        <v>0.51700348098689497</v>
      </c>
      <c r="AP20" s="519">
        <v>0.11062324646048838</v>
      </c>
      <c r="AQ20" s="519">
        <v>0.1364666285329188</v>
      </c>
      <c r="AR20" s="519">
        <v>0.63243799870907369</v>
      </c>
      <c r="AS20" s="519">
        <v>0.58167608968996476</v>
      </c>
      <c r="AT20" s="520">
        <v>0.80757222481289381</v>
      </c>
      <c r="AU20" s="519">
        <v>4.5135556965956093E-2</v>
      </c>
      <c r="AV20" s="519">
        <v>0.15587068257917921</v>
      </c>
      <c r="AW20" s="519">
        <v>0.27932799100339084</v>
      </c>
      <c r="AX20" s="519">
        <v>0.23632023531523955</v>
      </c>
      <c r="AY20" s="519">
        <v>6.4267216457237195E-2</v>
      </c>
      <c r="AZ20" s="518">
        <v>0</v>
      </c>
      <c r="BA20" s="518">
        <v>0</v>
      </c>
      <c r="BB20" s="518">
        <v>0</v>
      </c>
      <c r="BC20" s="518">
        <v>0</v>
      </c>
      <c r="BD20" s="518">
        <v>2.3707799606135425E-2</v>
      </c>
      <c r="BE20" s="518">
        <v>5.4249891000165348E-2</v>
      </c>
      <c r="BF20" s="518">
        <v>3.8086635187374776E-2</v>
      </c>
      <c r="BG20" s="518">
        <v>0</v>
      </c>
      <c r="BH20" s="518">
        <v>0</v>
      </c>
      <c r="BI20" s="518">
        <v>5.1666562857300327E-2</v>
      </c>
      <c r="BJ20" s="518">
        <v>0</v>
      </c>
      <c r="BK20" s="518">
        <v>0</v>
      </c>
      <c r="BL20" s="518">
        <v>0</v>
      </c>
      <c r="BM20" s="518">
        <v>0</v>
      </c>
      <c r="BN20" s="518">
        <v>0</v>
      </c>
      <c r="BO20" s="518">
        <v>0</v>
      </c>
      <c r="BP20" s="518">
        <v>2.0666625142920132E-2</v>
      </c>
      <c r="BQ20" s="518">
        <v>0</v>
      </c>
      <c r="BR20" s="518">
        <v>0</v>
      </c>
      <c r="BS20" s="518">
        <v>0.21725319240636495</v>
      </c>
      <c r="BT20" s="518">
        <v>2.7648593096609369E-2</v>
      </c>
      <c r="BU20" s="518">
        <v>0</v>
      </c>
      <c r="BV20" s="518">
        <v>0</v>
      </c>
      <c r="BW20" s="518">
        <v>0</v>
      </c>
      <c r="BX20" s="518">
        <v>1.5554568450320055E-2</v>
      </c>
      <c r="BY20" s="518">
        <v>0</v>
      </c>
      <c r="BZ20" s="518">
        <v>9.2511075386382344E-3</v>
      </c>
      <c r="CA20" s="518">
        <v>0</v>
      </c>
      <c r="CB20" s="518">
        <v>0</v>
      </c>
      <c r="CC20" s="518">
        <v>0</v>
      </c>
      <c r="CD20" s="518">
        <v>0</v>
      </c>
    </row>
    <row r="21" spans="1:82" x14ac:dyDescent="0.3">
      <c r="A21" s="513">
        <v>2018</v>
      </c>
      <c r="B21" s="514" t="s">
        <v>1656</v>
      </c>
      <c r="C21" s="513" t="s">
        <v>13</v>
      </c>
      <c r="D21" s="513" t="s">
        <v>2</v>
      </c>
      <c r="E21" s="513" t="s">
        <v>274</v>
      </c>
      <c r="F21" s="515" t="s">
        <v>1518</v>
      </c>
      <c r="G21" s="15" t="s">
        <v>1547</v>
      </c>
      <c r="H21" s="15" t="s">
        <v>1569</v>
      </c>
      <c r="I21" s="16">
        <v>43397</v>
      </c>
      <c r="J21" s="149">
        <v>0.43402777777777773</v>
      </c>
      <c r="K21" s="156">
        <v>0.79295599999999999</v>
      </c>
      <c r="L21" s="156">
        <v>7.1559999999999999E-2</v>
      </c>
      <c r="M21" s="52">
        <f t="shared" si="5"/>
        <v>7.9295600000000004</v>
      </c>
      <c r="N21" s="52">
        <f t="shared" si="13"/>
        <v>0.71560000000000001</v>
      </c>
      <c r="O21" s="52">
        <f t="shared" si="14"/>
        <v>6.607966666666667E-4</v>
      </c>
      <c r="P21" s="52">
        <f t="shared" si="1"/>
        <v>5.1114285714285719E-5</v>
      </c>
      <c r="Q21" s="52">
        <f t="shared" si="15"/>
        <v>12.927827464132662</v>
      </c>
      <c r="R21" s="52">
        <v>85.35</v>
      </c>
      <c r="S21" s="52">
        <v>5.2100000000000009</v>
      </c>
      <c r="T21" s="52">
        <v>4.16</v>
      </c>
      <c r="U21" s="52">
        <v>4.96</v>
      </c>
      <c r="V21" s="52">
        <v>0.33</v>
      </c>
      <c r="W21" s="52">
        <v>0</v>
      </c>
      <c r="X21" s="52">
        <v>0</v>
      </c>
      <c r="Y21" s="52"/>
      <c r="Z21" s="52"/>
      <c r="AA21" s="52"/>
      <c r="AB21" s="516">
        <v>71.718179637445246</v>
      </c>
      <c r="AC21" s="516">
        <v>52.9</v>
      </c>
      <c r="AD21" s="513">
        <v>0.23754243885557641</v>
      </c>
      <c r="AE21" s="513">
        <v>0</v>
      </c>
      <c r="AF21" s="513">
        <v>0.96894982003268237</v>
      </c>
      <c r="AG21" s="519">
        <v>2.16800255576752</v>
      </c>
      <c r="AH21" s="519">
        <v>0.84879820855543076</v>
      </c>
      <c r="AI21" s="519">
        <v>0.99451742646948005</v>
      </c>
      <c r="AJ21" s="519">
        <v>1.2836420567154074</v>
      </c>
      <c r="AK21" s="519">
        <v>1.8645256472131724</v>
      </c>
      <c r="AL21" s="519">
        <v>2.5772707914836732</v>
      </c>
      <c r="AM21" s="519">
        <v>0.96730716944718298</v>
      </c>
      <c r="AN21" s="519">
        <v>3.5651988549213685</v>
      </c>
      <c r="AO21" s="519">
        <v>2.859608285592953</v>
      </c>
      <c r="AP21" s="519">
        <v>0.5972386919746967</v>
      </c>
      <c r="AQ21" s="519">
        <v>1.0771421366289642</v>
      </c>
      <c r="AR21" s="519">
        <v>3.3681350882687338</v>
      </c>
      <c r="AS21" s="519">
        <v>3.0513378888566765</v>
      </c>
      <c r="AT21" s="520">
        <v>4.2463457833824032</v>
      </c>
      <c r="AU21" s="519">
        <v>0.27721473348444653</v>
      </c>
      <c r="AV21" s="519">
        <v>0.93588628780048</v>
      </c>
      <c r="AW21" s="519">
        <v>1.7705119647120611</v>
      </c>
      <c r="AX21" s="519">
        <v>1.129576534112716</v>
      </c>
      <c r="AY21" s="519">
        <v>0.376790804330567</v>
      </c>
      <c r="AZ21" s="518">
        <v>0</v>
      </c>
      <c r="BA21" s="518">
        <v>0</v>
      </c>
      <c r="BB21" s="518">
        <v>0</v>
      </c>
      <c r="BC21" s="518">
        <v>0</v>
      </c>
      <c r="BD21" s="518">
        <v>5.8434459323274256E-2</v>
      </c>
      <c r="BE21" s="518">
        <v>0.14901596557296826</v>
      </c>
      <c r="BF21" s="518">
        <v>6.8943196022051512E-2</v>
      </c>
      <c r="BG21" s="518">
        <v>8.7955048918391079E-2</v>
      </c>
      <c r="BH21" s="518">
        <v>4.8248205244053502E-2</v>
      </c>
      <c r="BI21" s="518">
        <v>3.9795745347807228E-2</v>
      </c>
      <c r="BJ21" s="518">
        <v>0</v>
      </c>
      <c r="BK21" s="518">
        <v>0</v>
      </c>
      <c r="BL21" s="518">
        <v>0</v>
      </c>
      <c r="BM21" s="518">
        <v>0</v>
      </c>
      <c r="BN21" s="518">
        <v>4.0427423845391462E-2</v>
      </c>
      <c r="BO21" s="518">
        <v>0.1029635951062314</v>
      </c>
      <c r="BP21" s="518">
        <v>4.6112530323649641E-2</v>
      </c>
      <c r="BQ21" s="518">
        <v>0</v>
      </c>
      <c r="BR21" s="518">
        <v>0</v>
      </c>
      <c r="BS21" s="518">
        <v>0.66940814400738891</v>
      </c>
      <c r="BT21" s="518">
        <v>5.6820984854125366E-2</v>
      </c>
      <c r="BU21" s="518">
        <v>0</v>
      </c>
      <c r="BV21" s="518">
        <v>0</v>
      </c>
      <c r="BW21" s="518">
        <v>0</v>
      </c>
      <c r="BX21" s="518">
        <v>0.12684061151140416</v>
      </c>
      <c r="BY21" s="518">
        <v>0</v>
      </c>
      <c r="BZ21" s="518">
        <v>3.6156074004583739E-2</v>
      </c>
      <c r="CA21" s="518">
        <v>0</v>
      </c>
      <c r="CB21" s="518">
        <v>3.675767257371159E-2</v>
      </c>
      <c r="CC21" s="518">
        <v>0</v>
      </c>
      <c r="CD21" s="518">
        <v>0</v>
      </c>
    </row>
    <row r="22" spans="1:82" x14ac:dyDescent="0.3">
      <c r="A22" s="513">
        <v>2018</v>
      </c>
      <c r="B22" s="514" t="s">
        <v>1656</v>
      </c>
      <c r="C22" s="513" t="s">
        <v>13</v>
      </c>
      <c r="D22" s="513" t="s">
        <v>2</v>
      </c>
      <c r="E22" s="63" t="s">
        <v>1526</v>
      </c>
      <c r="F22" s="510" t="s">
        <v>1519</v>
      </c>
      <c r="G22" s="511" t="s">
        <v>1548</v>
      </c>
      <c r="H22" s="511" t="s">
        <v>1570</v>
      </c>
      <c r="I22" s="16">
        <v>43397</v>
      </c>
      <c r="J22" s="149">
        <v>0.4201388888888889</v>
      </c>
      <c r="K22" s="156">
        <v>0.43257000000000001</v>
      </c>
      <c r="L22" s="156">
        <v>5.2789999999999997E-2</v>
      </c>
      <c r="M22" s="52">
        <f t="shared" si="5"/>
        <v>4.3257000000000003</v>
      </c>
      <c r="N22" s="52">
        <f t="shared" si="13"/>
        <v>0.52790000000000004</v>
      </c>
      <c r="O22" s="52">
        <f t="shared" si="14"/>
        <v>3.6047500000000002E-4</v>
      </c>
      <c r="P22" s="52">
        <f t="shared" si="1"/>
        <v>3.770714285714286E-5</v>
      </c>
      <c r="Q22" s="52">
        <f t="shared" si="15"/>
        <v>9.5598598219359729</v>
      </c>
      <c r="R22" s="52">
        <v>71.08</v>
      </c>
      <c r="S22" s="52">
        <v>14.01</v>
      </c>
      <c r="T22" s="52">
        <v>12.940000000000001</v>
      </c>
      <c r="U22" s="52">
        <v>2.0099999999999998</v>
      </c>
      <c r="V22" s="52">
        <v>0</v>
      </c>
      <c r="W22" s="52">
        <v>0</v>
      </c>
      <c r="X22" s="52">
        <v>0</v>
      </c>
      <c r="Y22" s="52"/>
      <c r="Z22" s="52"/>
      <c r="AA22" s="52"/>
      <c r="AB22" s="516">
        <v>71.591394927235996</v>
      </c>
      <c r="AC22" s="516">
        <v>50.09</v>
      </c>
      <c r="AD22" s="513">
        <v>0.34702762019946604</v>
      </c>
      <c r="AE22" s="513">
        <v>0</v>
      </c>
      <c r="AF22" s="513">
        <v>0.5489850868856172</v>
      </c>
      <c r="AG22" s="519">
        <v>2.8548970865763228</v>
      </c>
      <c r="AH22" s="519">
        <v>1.1148894346107801</v>
      </c>
      <c r="AI22" s="519">
        <v>1.2297327606974722</v>
      </c>
      <c r="AJ22" s="519">
        <v>1.5478902942724009</v>
      </c>
      <c r="AK22" s="519">
        <v>2.263676979545457</v>
      </c>
      <c r="AL22" s="519">
        <v>2.9731583770298569</v>
      </c>
      <c r="AM22" s="519">
        <v>1.2070705536386697</v>
      </c>
      <c r="AN22" s="519">
        <v>4.3768981204429309</v>
      </c>
      <c r="AO22" s="519">
        <v>3.1881856099803478</v>
      </c>
      <c r="AP22" s="519">
        <v>0.67849364601370288</v>
      </c>
      <c r="AQ22" s="519">
        <v>1.1104173776452242</v>
      </c>
      <c r="AR22" s="519">
        <v>4.1588540491646091</v>
      </c>
      <c r="AS22" s="519">
        <v>3.5366584245733486</v>
      </c>
      <c r="AT22" s="520">
        <v>4.9181311955422906</v>
      </c>
      <c r="AU22" s="519">
        <v>0.31125960729444924</v>
      </c>
      <c r="AV22" s="519">
        <v>1.0522174163213081</v>
      </c>
      <c r="AW22" s="519">
        <v>2.0412437987216032</v>
      </c>
      <c r="AX22" s="519">
        <v>1.2920465678408966</v>
      </c>
      <c r="AY22" s="519">
        <v>0.41582168582442858</v>
      </c>
      <c r="AZ22" s="518">
        <v>0</v>
      </c>
      <c r="BA22" s="518">
        <v>0</v>
      </c>
      <c r="BB22" s="518">
        <v>0</v>
      </c>
      <c r="BC22" s="518">
        <v>0</v>
      </c>
      <c r="BD22" s="518">
        <v>1.8345840574812235E-2</v>
      </c>
      <c r="BE22" s="518">
        <v>4.7159346949942345E-2</v>
      </c>
      <c r="BF22" s="518">
        <v>3.680425224929363E-2</v>
      </c>
      <c r="BG22" s="518">
        <v>4.8107595442712404E-2</v>
      </c>
      <c r="BH22" s="518">
        <v>0</v>
      </c>
      <c r="BI22" s="518">
        <v>3.8600798799767626E-2</v>
      </c>
      <c r="BJ22" s="518">
        <v>0</v>
      </c>
      <c r="BK22" s="518">
        <v>0</v>
      </c>
      <c r="BL22" s="518">
        <v>0</v>
      </c>
      <c r="BM22" s="518">
        <v>0</v>
      </c>
      <c r="BN22" s="518">
        <v>3.4583521096624388E-2</v>
      </c>
      <c r="BO22" s="518">
        <v>7.2136334408615527E-2</v>
      </c>
      <c r="BP22" s="518">
        <v>1.9262971346748939E-2</v>
      </c>
      <c r="BQ22" s="518">
        <v>0</v>
      </c>
      <c r="BR22" s="518">
        <v>0</v>
      </c>
      <c r="BS22" s="518">
        <v>0.32017613769738834</v>
      </c>
      <c r="BT22" s="518">
        <v>4.2842644821720108E-2</v>
      </c>
      <c r="BU22" s="518">
        <v>0</v>
      </c>
      <c r="BV22" s="518">
        <v>0</v>
      </c>
      <c r="BW22" s="518">
        <v>0</v>
      </c>
      <c r="BX22" s="518">
        <v>2.765312854204777E-2</v>
      </c>
      <c r="BY22" s="518">
        <v>0</v>
      </c>
      <c r="BZ22" s="518">
        <v>2.8769696843007155E-2</v>
      </c>
      <c r="CA22" s="518">
        <v>0</v>
      </c>
      <c r="CB22" s="518">
        <v>0</v>
      </c>
      <c r="CC22" s="518">
        <v>0</v>
      </c>
      <c r="CD22" s="518">
        <v>0</v>
      </c>
    </row>
    <row r="23" spans="1:82" x14ac:dyDescent="0.3">
      <c r="A23" s="513">
        <v>2018</v>
      </c>
      <c r="B23" s="514" t="s">
        <v>1656</v>
      </c>
      <c r="C23" s="513" t="s">
        <v>13</v>
      </c>
      <c r="D23" s="513" t="s">
        <v>2</v>
      </c>
      <c r="E23" s="63" t="s">
        <v>1527</v>
      </c>
      <c r="F23" s="510" t="s">
        <v>1520</v>
      </c>
      <c r="G23" s="511" t="s">
        <v>1540</v>
      </c>
      <c r="H23" s="511" t="s">
        <v>1563</v>
      </c>
      <c r="I23" s="16">
        <v>43398</v>
      </c>
      <c r="J23" s="149">
        <v>0.6875</v>
      </c>
      <c r="K23" s="156">
        <v>0.95124500000000001</v>
      </c>
      <c r="L23" s="156">
        <v>0.11014</v>
      </c>
      <c r="M23" s="52">
        <f t="shared" si="5"/>
        <v>9.5124500000000012</v>
      </c>
      <c r="N23" s="52">
        <f t="shared" si="13"/>
        <v>1.1013999999999999</v>
      </c>
      <c r="O23" s="52">
        <f t="shared" si="14"/>
        <v>7.9270416666666677E-4</v>
      </c>
      <c r="P23" s="52">
        <f t="shared" si="1"/>
        <v>7.8671428571428569E-5</v>
      </c>
      <c r="Q23" s="52">
        <f t="shared" si="15"/>
        <v>10.076137945644938</v>
      </c>
      <c r="R23" s="52">
        <v>55.09</v>
      </c>
      <c r="S23" s="52">
        <v>19.260000000000002</v>
      </c>
      <c r="T23" s="52">
        <v>18.470000000000002</v>
      </c>
      <c r="U23" s="52">
        <v>6.4899999999999993</v>
      </c>
      <c r="V23" s="52">
        <v>0.69</v>
      </c>
      <c r="W23" s="52">
        <v>0</v>
      </c>
      <c r="X23" s="52">
        <v>0</v>
      </c>
      <c r="Y23" s="52"/>
      <c r="Z23" s="52"/>
      <c r="AA23" s="52"/>
      <c r="AB23" s="516">
        <v>62.024065899498417</v>
      </c>
      <c r="AC23" s="516">
        <v>47.8</v>
      </c>
      <c r="AD23" s="513">
        <v>0.50653390496764816</v>
      </c>
      <c r="AE23" s="513">
        <v>0</v>
      </c>
      <c r="AF23" s="513">
        <v>1.6566114219308734</v>
      </c>
      <c r="AG23" s="519">
        <v>3.3913415408318115</v>
      </c>
      <c r="AH23" s="519">
        <v>1.257873530740661</v>
      </c>
      <c r="AI23" s="519">
        <v>1.4419776615816222</v>
      </c>
      <c r="AJ23" s="519">
        <v>1.8886702475892561</v>
      </c>
      <c r="AK23" s="519">
        <v>2.5336326896914012</v>
      </c>
      <c r="AL23" s="519">
        <v>3.3156345570047336</v>
      </c>
      <c r="AM23" s="519">
        <v>1.1730437138628682</v>
      </c>
      <c r="AN23" s="519">
        <v>5.2481495549356723</v>
      </c>
      <c r="AO23" s="519">
        <v>3.7975265212922173</v>
      </c>
      <c r="AP23" s="519">
        <v>0.73812691577411937</v>
      </c>
      <c r="AQ23" s="519">
        <v>1.230019894542405</v>
      </c>
      <c r="AR23" s="519">
        <v>4.5592515695479525</v>
      </c>
      <c r="AS23" s="519">
        <v>4.4462104134400473</v>
      </c>
      <c r="AT23" s="520">
        <v>6.1925118294388231</v>
      </c>
      <c r="AU23" s="519">
        <v>0.32824409386805342</v>
      </c>
      <c r="AV23" s="519">
        <v>1.0467351521734947</v>
      </c>
      <c r="AW23" s="519">
        <v>2.3806782600519205</v>
      </c>
      <c r="AX23" s="519">
        <v>1.5782121140927896</v>
      </c>
      <c r="AY23" s="519">
        <v>0.49692077644976246</v>
      </c>
      <c r="AZ23" s="518">
        <v>0</v>
      </c>
      <c r="BA23" s="518">
        <v>0</v>
      </c>
      <c r="BB23" s="518">
        <v>0</v>
      </c>
      <c r="BC23" s="518">
        <v>0</v>
      </c>
      <c r="BD23" s="518">
        <v>3.2724725285716599E-2</v>
      </c>
      <c r="BE23" s="518">
        <v>7.480751059413826E-2</v>
      </c>
      <c r="BF23" s="518">
        <v>3.8206903416944854E-2</v>
      </c>
      <c r="BG23" s="518">
        <v>5.7286894984107203E-2</v>
      </c>
      <c r="BH23" s="518">
        <v>3.3531434004811213E-2</v>
      </c>
      <c r="BI23" s="518">
        <v>3.9755831933848018E-2</v>
      </c>
      <c r="BJ23" s="518">
        <v>0</v>
      </c>
      <c r="BK23" s="518">
        <v>0</v>
      </c>
      <c r="BL23" s="518">
        <v>0</v>
      </c>
      <c r="BM23" s="518">
        <v>0</v>
      </c>
      <c r="BN23" s="518">
        <v>3.3732221034780137E-2</v>
      </c>
      <c r="BO23" s="518">
        <v>8.6338422886639635E-2</v>
      </c>
      <c r="BP23" s="518">
        <v>4.4804191544495386E-2</v>
      </c>
      <c r="BQ23" s="518">
        <v>0</v>
      </c>
      <c r="BR23" s="518">
        <v>0</v>
      </c>
      <c r="BS23" s="518">
        <v>0.33932414838999242</v>
      </c>
      <c r="BT23" s="518">
        <v>6.1297411863371731E-2</v>
      </c>
      <c r="BU23" s="518">
        <v>7.6299071388193172E-3</v>
      </c>
      <c r="BV23" s="518">
        <v>0</v>
      </c>
      <c r="BW23" s="518">
        <v>0</v>
      </c>
      <c r="BX23" s="518">
        <v>4.7042687466167347E-2</v>
      </c>
      <c r="BY23" s="518">
        <v>0</v>
      </c>
      <c r="BZ23" s="518">
        <v>3.6830078068586472E-2</v>
      </c>
      <c r="CA23" s="518">
        <v>0</v>
      </c>
      <c r="CB23" s="518">
        <v>3.2097240933604568E-2</v>
      </c>
      <c r="CC23" s="518">
        <v>0</v>
      </c>
      <c r="CD23" s="518">
        <v>0</v>
      </c>
    </row>
    <row r="24" spans="1:82" x14ac:dyDescent="0.3">
      <c r="A24" s="513">
        <v>2018</v>
      </c>
      <c r="B24" s="514" t="s">
        <v>1656</v>
      </c>
      <c r="C24" s="513" t="s">
        <v>14</v>
      </c>
      <c r="D24" s="513" t="s">
        <v>2</v>
      </c>
      <c r="E24" s="513" t="s">
        <v>165</v>
      </c>
      <c r="F24" s="515" t="s">
        <v>1521</v>
      </c>
      <c r="G24" s="15" t="s">
        <v>1549</v>
      </c>
      <c r="H24" s="15" t="s">
        <v>1571</v>
      </c>
      <c r="I24" s="16">
        <v>43397</v>
      </c>
      <c r="J24" s="149">
        <v>0.47916666666666669</v>
      </c>
      <c r="K24" s="156">
        <v>0.26345000000000002</v>
      </c>
      <c r="L24" s="156">
        <v>4.3790000000000003E-2</v>
      </c>
      <c r="M24" s="52">
        <f t="shared" si="5"/>
        <v>2.6345000000000001</v>
      </c>
      <c r="N24" s="52">
        <f t="shared" si="13"/>
        <v>0.43790000000000001</v>
      </c>
      <c r="O24" s="52">
        <f t="shared" si="14"/>
        <v>2.1954166666666666E-4</v>
      </c>
      <c r="P24" s="52">
        <f t="shared" si="1"/>
        <v>3.1278571428571427E-5</v>
      </c>
      <c r="Q24" s="52">
        <f t="shared" si="15"/>
        <v>7.0189160386694072</v>
      </c>
      <c r="R24" s="52">
        <v>82.8</v>
      </c>
      <c r="S24" s="52">
        <v>11.130000000000003</v>
      </c>
      <c r="T24" s="52">
        <v>4.3699999999999992</v>
      </c>
      <c r="U24" s="52">
        <v>1.6099999999999999</v>
      </c>
      <c r="V24" s="52">
        <v>7.0000000000000007E-2</v>
      </c>
      <c r="W24" s="52">
        <v>0</v>
      </c>
      <c r="X24" s="52">
        <v>0</v>
      </c>
      <c r="Y24" s="52"/>
      <c r="Z24" s="52"/>
      <c r="AA24" s="52"/>
      <c r="AB24" s="516">
        <v>54.50833552325556</v>
      </c>
      <c r="AC24" s="516">
        <v>35.25</v>
      </c>
      <c r="AD24" s="513">
        <v>0</v>
      </c>
      <c r="AE24" s="513">
        <v>0</v>
      </c>
      <c r="AF24" s="513">
        <v>0</v>
      </c>
      <c r="AG24" s="519">
        <v>0.34788523124287341</v>
      </c>
      <c r="AH24" s="519">
        <v>0.21301877354670662</v>
      </c>
      <c r="AI24" s="519">
        <v>0.20422585709826813</v>
      </c>
      <c r="AJ24" s="519">
        <v>0.24489574563442987</v>
      </c>
      <c r="AK24" s="519">
        <v>0.41828682507079146</v>
      </c>
      <c r="AL24" s="519">
        <v>0.62942123578624065</v>
      </c>
      <c r="AM24" s="519">
        <v>0.2017911809579106</v>
      </c>
      <c r="AN24" s="519">
        <v>0.85075161733203464</v>
      </c>
      <c r="AO24" s="519">
        <v>0.69851786634008017</v>
      </c>
      <c r="AP24" s="519">
        <v>0.16314320513800032</v>
      </c>
      <c r="AQ24" s="519">
        <v>0.24848053005248219</v>
      </c>
      <c r="AR24" s="519">
        <v>0.82334522148206324</v>
      </c>
      <c r="AS24" s="519">
        <v>0.74973424667771194</v>
      </c>
      <c r="AT24" s="520">
        <v>1.2088449262596377</v>
      </c>
      <c r="AU24" s="519">
        <v>7.5059767534451746E-2</v>
      </c>
      <c r="AV24" s="519">
        <v>0.18704358028578161</v>
      </c>
      <c r="AW24" s="519">
        <v>0.43106821190115047</v>
      </c>
      <c r="AX24" s="519">
        <v>0.34135244856112035</v>
      </c>
      <c r="AY24" s="519">
        <v>0.1007388252099593</v>
      </c>
      <c r="AZ24" s="518">
        <v>0</v>
      </c>
      <c r="BA24" s="518">
        <v>0</v>
      </c>
      <c r="BB24" s="518">
        <v>0</v>
      </c>
      <c r="BC24" s="518">
        <v>0</v>
      </c>
      <c r="BD24" s="518">
        <v>2.6945755363106613E-2</v>
      </c>
      <c r="BE24" s="518">
        <v>5.7206451347671113E-2</v>
      </c>
      <c r="BF24" s="518">
        <v>3.2073772319712097E-2</v>
      </c>
      <c r="BG24" s="518">
        <v>0</v>
      </c>
      <c r="BH24" s="518">
        <v>0</v>
      </c>
      <c r="BI24" s="518">
        <v>0</v>
      </c>
      <c r="BJ24" s="518">
        <v>2.5231367558173515E-2</v>
      </c>
      <c r="BK24" s="518">
        <v>0</v>
      </c>
      <c r="BL24" s="518">
        <v>0</v>
      </c>
      <c r="BM24" s="518">
        <v>0</v>
      </c>
      <c r="BN24" s="518">
        <v>0</v>
      </c>
      <c r="BO24" s="518">
        <v>0</v>
      </c>
      <c r="BP24" s="518">
        <v>2.2731258126072879E-2</v>
      </c>
      <c r="BQ24" s="518">
        <v>0</v>
      </c>
      <c r="BR24" s="518">
        <v>0</v>
      </c>
      <c r="BS24" s="518">
        <v>0.11685594519491942</v>
      </c>
      <c r="BT24" s="518">
        <v>2.1974646061095057E-2</v>
      </c>
      <c r="BU24" s="518">
        <v>0</v>
      </c>
      <c r="BV24" s="518">
        <v>0</v>
      </c>
      <c r="BW24" s="518">
        <v>0</v>
      </c>
      <c r="BX24" s="518">
        <v>1.6335057674718531E-2</v>
      </c>
      <c r="BY24" s="518">
        <v>0</v>
      </c>
      <c r="BZ24" s="518">
        <v>4.8028418037722722E-3</v>
      </c>
      <c r="CA24" s="518">
        <v>0</v>
      </c>
      <c r="CB24" s="518">
        <v>0</v>
      </c>
      <c r="CC24" s="518">
        <v>0</v>
      </c>
      <c r="CD24" s="518">
        <v>0</v>
      </c>
    </row>
    <row r="25" spans="1:82" x14ac:dyDescent="0.3">
      <c r="A25" s="513">
        <v>2018</v>
      </c>
      <c r="B25" s="514" t="s">
        <v>1656</v>
      </c>
      <c r="C25" s="513" t="s">
        <v>14</v>
      </c>
      <c r="D25" s="513" t="s">
        <v>2</v>
      </c>
      <c r="E25" s="513" t="s">
        <v>166</v>
      </c>
      <c r="F25" s="515" t="s">
        <v>1522</v>
      </c>
      <c r="G25" s="15" t="s">
        <v>1550</v>
      </c>
      <c r="H25" s="15" t="s">
        <v>1572</v>
      </c>
      <c r="I25" s="16">
        <v>43397</v>
      </c>
      <c r="J25" s="149">
        <v>0.52083333333333337</v>
      </c>
      <c r="K25" s="156">
        <v>0.28244999999999998</v>
      </c>
      <c r="L25" s="156">
        <v>3.4200000000000001E-2</v>
      </c>
      <c r="M25" s="52">
        <f t="shared" si="5"/>
        <v>2.8244999999999996</v>
      </c>
      <c r="N25" s="52">
        <f t="shared" si="13"/>
        <v>0.34200000000000003</v>
      </c>
      <c r="O25" s="52">
        <f t="shared" si="14"/>
        <v>2.3537499999999996E-4</v>
      </c>
      <c r="P25" s="52">
        <f t="shared" si="1"/>
        <v>2.442857142857143E-5</v>
      </c>
      <c r="Q25" s="52">
        <f t="shared" si="15"/>
        <v>9.6352339181286535</v>
      </c>
      <c r="R25" s="52">
        <v>55.99</v>
      </c>
      <c r="S25" s="52">
        <v>23.04</v>
      </c>
      <c r="T25" s="52">
        <v>16.53</v>
      </c>
      <c r="U25" s="52">
        <v>4.16</v>
      </c>
      <c r="V25" s="52">
        <v>0.27999999999999997</v>
      </c>
      <c r="W25" s="52">
        <v>0</v>
      </c>
      <c r="X25" s="52">
        <v>0</v>
      </c>
      <c r="Y25" s="52"/>
      <c r="Z25" s="52"/>
      <c r="AA25" s="52"/>
      <c r="AB25" s="516">
        <v>62.208729760991282</v>
      </c>
      <c r="AC25" s="516">
        <v>44.02</v>
      </c>
      <c r="AD25" s="513">
        <v>0.24899223489846595</v>
      </c>
      <c r="AE25" s="513">
        <v>0</v>
      </c>
      <c r="AF25" s="513">
        <v>0.85162864234987046</v>
      </c>
      <c r="AG25" s="517">
        <v>0.74055710255491658</v>
      </c>
      <c r="AH25" s="517">
        <v>0.44374437364831987</v>
      </c>
      <c r="AI25" s="517">
        <v>0.42053234354558794</v>
      </c>
      <c r="AJ25" s="517">
        <v>0.48324766566474275</v>
      </c>
      <c r="AK25" s="517">
        <v>0.86519021807711705</v>
      </c>
      <c r="AL25" s="517">
        <v>1.4752544171241231</v>
      </c>
      <c r="AM25" s="517">
        <v>0.38322911227335293</v>
      </c>
      <c r="AN25" s="517">
        <v>1.7525062112712237</v>
      </c>
      <c r="AO25" s="517">
        <v>1.3769920186747675</v>
      </c>
      <c r="AP25" s="517">
        <v>0.32519309486617642</v>
      </c>
      <c r="AQ25" s="517">
        <v>0.49724505145045128</v>
      </c>
      <c r="AR25" s="517">
        <v>1.6503002275118415</v>
      </c>
      <c r="AS25" s="517">
        <v>1.4224540494623985</v>
      </c>
      <c r="AT25" s="28">
        <v>2.3026578916432738</v>
      </c>
      <c r="AU25" s="517">
        <v>0.14498606863057387</v>
      </c>
      <c r="AV25" s="517">
        <v>0.47161499441962412</v>
      </c>
      <c r="AW25" s="517">
        <v>0.90691487519980096</v>
      </c>
      <c r="AX25" s="517">
        <v>0.6427961362825072</v>
      </c>
      <c r="AY25" s="517">
        <v>0.22471270932197837</v>
      </c>
      <c r="AZ25" s="518">
        <v>0</v>
      </c>
      <c r="BA25" s="518">
        <v>0</v>
      </c>
      <c r="BB25" s="518">
        <v>0</v>
      </c>
      <c r="BC25" s="518">
        <v>0</v>
      </c>
      <c r="BD25" s="518">
        <v>2.2688682456727172E-2</v>
      </c>
      <c r="BE25" s="518">
        <v>4.9028572165149484E-2</v>
      </c>
      <c r="BF25" s="518">
        <v>3.233732053011474E-2</v>
      </c>
      <c r="BG25" s="518">
        <v>0</v>
      </c>
      <c r="BH25" s="518">
        <v>0</v>
      </c>
      <c r="BI25" s="518">
        <v>0</v>
      </c>
      <c r="BJ25" s="518">
        <v>0</v>
      </c>
      <c r="BK25" s="518">
        <v>0</v>
      </c>
      <c r="BL25" s="518">
        <v>0</v>
      </c>
      <c r="BM25" s="518">
        <v>0</v>
      </c>
      <c r="BN25" s="518">
        <v>0</v>
      </c>
      <c r="BO25" s="518">
        <v>6.214086472094528E-2</v>
      </c>
      <c r="BP25" s="518">
        <v>2.3215725708691588E-2</v>
      </c>
      <c r="BQ25" s="518">
        <v>0</v>
      </c>
      <c r="BR25" s="518">
        <v>0</v>
      </c>
      <c r="BS25" s="518">
        <v>0.2203921257646409</v>
      </c>
      <c r="BT25" s="518">
        <v>2.8409967204224215E-2</v>
      </c>
      <c r="BU25" s="518">
        <v>0</v>
      </c>
      <c r="BV25" s="518">
        <v>0</v>
      </c>
      <c r="BW25" s="518">
        <v>0</v>
      </c>
      <c r="BX25" s="518">
        <v>3.2704405614866344E-2</v>
      </c>
      <c r="BY25" s="518">
        <v>0</v>
      </c>
      <c r="BZ25" s="518">
        <v>1.3650720027893687E-2</v>
      </c>
      <c r="CA25" s="518">
        <v>0</v>
      </c>
      <c r="CB25" s="518">
        <v>0</v>
      </c>
      <c r="CC25" s="518">
        <v>0</v>
      </c>
      <c r="CD25" s="518">
        <v>0</v>
      </c>
    </row>
  </sheetData>
  <autoFilter ref="A1:CD25" xr:uid="{00000000-0009-0000-0000-000004000000}">
    <sortState xmlns:xlrd2="http://schemas.microsoft.com/office/spreadsheetml/2017/richdata2" ref="A2:AK37">
      <sortCondition ref="A2:A37"/>
      <sortCondition ref="B2:B37"/>
      <sortCondition ref="C2:C37"/>
    </sortState>
  </autoFilter>
  <conditionalFormatting sqref="C5:C7">
    <cfRule type="cellIs" dxfId="19" priority="4" operator="equal">
      <formula>0</formula>
    </cfRule>
    <cfRule type="containsBlanks" dxfId="18" priority="5">
      <formula>LEN(TRIM(C5))=0</formula>
    </cfRule>
  </conditionalFormatting>
  <conditionalFormatting sqref="C13:C15">
    <cfRule type="cellIs" dxfId="17" priority="2" operator="equal">
      <formula>0</formula>
    </cfRule>
    <cfRule type="containsBlanks" dxfId="16" priority="3">
      <formula>LEN(TRIM(C13))=0</formula>
    </cfRule>
  </conditionalFormatting>
  <conditionalFormatting sqref="C21:C23">
    <cfRule type="cellIs" dxfId="15" priority="8" operator="equal">
      <formula>0</formula>
    </cfRule>
    <cfRule type="containsBlanks" dxfId="14" priority="9">
      <formula>LEN(TRIM(C21))=0</formula>
    </cfRule>
  </conditionalFormatting>
  <conditionalFormatting sqref="AD2:CD25">
    <cfRule type="cellIs" dxfId="13" priority="12" operator="equal">
      <formula>0</formula>
    </cfRule>
  </conditionalFormatting>
  <conditionalFormatting sqref="AG1:AY1">
    <cfRule type="cellIs" dxfId="12" priority="1" operator="equal">
      <formula>0</formula>
    </cfRule>
  </conditionalFormatting>
  <pageMargins left="0.7" right="0.7" top="0.75" bottom="0.75" header="0.3" footer="0.3"/>
  <pageSetup paperSize="9" orientation="portrait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51"/>
  <sheetViews>
    <sheetView tabSelected="1" zoomScale="85" zoomScaleNormal="85" workbookViewId="0">
      <pane xSplit="8" ySplit="1" topLeftCell="I14" activePane="bottomRight" state="frozen"/>
      <selection pane="topRight" activeCell="G1" sqref="G1"/>
      <selection pane="bottomLeft" activeCell="A2" sqref="A2"/>
      <selection pane="bottomRight" activeCell="E15" sqref="E15"/>
    </sheetView>
  </sheetViews>
  <sheetFormatPr baseColWidth="10" defaultColWidth="11.44140625" defaultRowHeight="14.4" x14ac:dyDescent="0.3"/>
  <cols>
    <col min="1" max="1" width="6.5546875" style="21" customWidth="1"/>
    <col min="2" max="2" width="11.44140625" style="21"/>
    <col min="3" max="3" width="17.5546875" style="21" bestFit="1" customWidth="1"/>
    <col min="4" max="5" width="15.109375" style="21" customWidth="1"/>
    <col min="6" max="6" width="21.44140625" style="29" bestFit="1" customWidth="1"/>
    <col min="7" max="7" width="6.44140625" style="29" customWidth="1"/>
    <col min="8" max="8" width="13.88671875" style="21" customWidth="1"/>
    <col min="9" max="9" width="11.44140625" style="26"/>
    <col min="10" max="10" width="20.88671875" style="24" customWidth="1"/>
    <col min="11" max="12" width="20.88671875" style="28" customWidth="1"/>
    <col min="13" max="13" width="11.44140625" style="159"/>
    <col min="14" max="15" width="11.44140625" style="21"/>
    <col min="16" max="16" width="16.33203125" style="22" customWidth="1"/>
    <col min="17" max="28" width="11.44140625" style="26"/>
    <col min="29" max="29" width="11.44140625" style="183"/>
    <col min="30" max="34" width="11.44140625" style="26"/>
    <col min="35" max="35" width="11.44140625" style="22"/>
    <col min="36" max="38" width="11.44140625" style="26"/>
    <col min="39" max="39" width="16.5546875" style="26" customWidth="1"/>
    <col min="40" max="51" width="11.44140625" style="26"/>
    <col min="52" max="52" width="11.44140625" style="27"/>
    <col min="53" max="63" width="11.44140625" style="26"/>
    <col min="64" max="16384" width="11.44140625" style="21"/>
  </cols>
  <sheetData>
    <row r="1" spans="1:63" s="19" customFormat="1" x14ac:dyDescent="0.3">
      <c r="A1" s="168" t="s">
        <v>187</v>
      </c>
      <c r="B1" s="168" t="s">
        <v>188</v>
      </c>
      <c r="C1" s="168" t="s">
        <v>1695</v>
      </c>
      <c r="D1" s="168" t="s">
        <v>0</v>
      </c>
      <c r="E1" s="168" t="s">
        <v>1523</v>
      </c>
      <c r="F1" s="169" t="s">
        <v>190</v>
      </c>
      <c r="G1" s="169" t="s">
        <v>979</v>
      </c>
      <c r="H1" s="168" t="s">
        <v>191</v>
      </c>
      <c r="I1" s="160" t="s">
        <v>1706</v>
      </c>
      <c r="J1" s="170" t="s">
        <v>1634</v>
      </c>
      <c r="K1" s="170" t="s">
        <v>1707</v>
      </c>
      <c r="L1" s="170" t="s">
        <v>1708</v>
      </c>
      <c r="M1" s="161" t="s">
        <v>1697</v>
      </c>
      <c r="N1" s="171" t="s">
        <v>1698</v>
      </c>
      <c r="O1" s="171" t="s">
        <v>1699</v>
      </c>
      <c r="P1" s="181" t="s">
        <v>1615</v>
      </c>
      <c r="Q1" s="182" t="s">
        <v>1616</v>
      </c>
      <c r="R1" s="182" t="s">
        <v>1617</v>
      </c>
      <c r="S1" s="182" t="s">
        <v>1618</v>
      </c>
      <c r="T1" s="182" t="s">
        <v>1619</v>
      </c>
      <c r="U1" s="182" t="s">
        <v>1620</v>
      </c>
      <c r="V1" s="182" t="s">
        <v>1621</v>
      </c>
      <c r="W1" s="182" t="s">
        <v>1622</v>
      </c>
      <c r="X1" s="182" t="s">
        <v>1623</v>
      </c>
      <c r="Y1" s="182" t="s">
        <v>1624</v>
      </c>
      <c r="Z1" s="182" t="s">
        <v>1625</v>
      </c>
      <c r="AA1" s="182" t="s">
        <v>1626</v>
      </c>
      <c r="AB1" s="182" t="s">
        <v>1627</v>
      </c>
      <c r="AC1" s="182" t="s">
        <v>1628</v>
      </c>
      <c r="AD1" s="182" t="s">
        <v>1629</v>
      </c>
      <c r="AE1" s="182" t="s">
        <v>1630</v>
      </c>
      <c r="AF1" s="182" t="s">
        <v>1631</v>
      </c>
      <c r="AG1" s="182" t="s">
        <v>1632</v>
      </c>
      <c r="AH1" s="182" t="s">
        <v>1633</v>
      </c>
      <c r="AI1" s="151" t="s">
        <v>1635</v>
      </c>
      <c r="AJ1" s="152" t="s">
        <v>1636</v>
      </c>
      <c r="AK1" s="152" t="s">
        <v>1637</v>
      </c>
      <c r="AL1" s="152" t="s">
        <v>1638</v>
      </c>
      <c r="AM1" s="152" t="s">
        <v>1639</v>
      </c>
      <c r="AN1" s="152" t="s">
        <v>1640</v>
      </c>
      <c r="AO1" s="152" t="s">
        <v>1641</v>
      </c>
      <c r="AP1" s="152" t="s">
        <v>1642</v>
      </c>
      <c r="AQ1" s="152" t="s">
        <v>1643</v>
      </c>
      <c r="AR1" s="152" t="s">
        <v>1644</v>
      </c>
      <c r="AS1" s="152" t="s">
        <v>1645</v>
      </c>
      <c r="AT1" s="152" t="s">
        <v>1646</v>
      </c>
      <c r="AU1" s="152" t="s">
        <v>1647</v>
      </c>
      <c r="AV1" s="152" t="s">
        <v>1648</v>
      </c>
      <c r="AW1" s="152" t="s">
        <v>1649</v>
      </c>
      <c r="AX1" s="152" t="s">
        <v>1650</v>
      </c>
      <c r="AY1" s="152" t="s">
        <v>1651</v>
      </c>
      <c r="AZ1" s="153" t="s">
        <v>1672</v>
      </c>
      <c r="BA1" s="152" t="s">
        <v>1671</v>
      </c>
      <c r="BB1" s="152" t="s">
        <v>1652</v>
      </c>
      <c r="BC1" s="152" t="s">
        <v>1653</v>
      </c>
      <c r="BD1" s="152" t="s">
        <v>1673</v>
      </c>
      <c r="BE1" s="152" t="s">
        <v>1674</v>
      </c>
      <c r="BF1" s="152" t="s">
        <v>1675</v>
      </c>
      <c r="BG1" s="152" t="s">
        <v>1676</v>
      </c>
      <c r="BH1" s="152" t="s">
        <v>1677</v>
      </c>
      <c r="BI1" s="152" t="s">
        <v>1678</v>
      </c>
      <c r="BJ1" s="152" t="s">
        <v>1679</v>
      </c>
      <c r="BK1" s="152" t="s">
        <v>1654</v>
      </c>
    </row>
    <row r="2" spans="1:63" x14ac:dyDescent="0.3">
      <c r="A2" s="172">
        <v>2017</v>
      </c>
      <c r="B2" s="172" t="s">
        <v>1655</v>
      </c>
      <c r="C2" s="173">
        <v>42906</v>
      </c>
      <c r="D2" s="173" t="s">
        <v>3</v>
      </c>
      <c r="E2" s="172" t="s">
        <v>162</v>
      </c>
      <c r="F2" s="174" t="s">
        <v>849</v>
      </c>
      <c r="G2" s="174"/>
      <c r="H2" s="173" t="s">
        <v>45</v>
      </c>
      <c r="I2" s="156">
        <v>21.8</v>
      </c>
      <c r="J2" s="175">
        <v>6.1</v>
      </c>
      <c r="K2" s="175"/>
      <c r="L2" s="175"/>
      <c r="M2" s="164">
        <v>0.16700000000000001</v>
      </c>
      <c r="N2" s="163">
        <v>1.6E-2</v>
      </c>
      <c r="O2" s="162">
        <v>0.219</v>
      </c>
      <c r="P2" s="154">
        <v>0.61</v>
      </c>
      <c r="Q2" s="156">
        <v>0.46</v>
      </c>
      <c r="R2" s="156">
        <v>1.08</v>
      </c>
      <c r="S2" s="156">
        <v>1.34</v>
      </c>
      <c r="T2" s="156">
        <v>2.14</v>
      </c>
      <c r="U2" s="156">
        <v>6.14</v>
      </c>
      <c r="V2" s="156">
        <v>0.95</v>
      </c>
      <c r="W2" s="156">
        <v>6.31</v>
      </c>
      <c r="X2" s="156">
        <v>4.7</v>
      </c>
      <c r="Y2" s="156">
        <v>1.48</v>
      </c>
      <c r="Z2" s="156">
        <v>2.21</v>
      </c>
      <c r="AA2" s="156">
        <v>7.98</v>
      </c>
      <c r="AB2" s="156">
        <v>8.01</v>
      </c>
      <c r="AC2" s="160">
        <v>14.54</v>
      </c>
      <c r="AD2" s="156">
        <v>0.55000000000000004</v>
      </c>
      <c r="AE2" s="156">
        <v>1.75</v>
      </c>
      <c r="AF2" s="156">
        <v>4.6900000000000004</v>
      </c>
      <c r="AG2" s="156">
        <v>4.9400000000000004</v>
      </c>
      <c r="AH2" s="156">
        <v>0.94</v>
      </c>
      <c r="AI2" s="154">
        <v>0</v>
      </c>
      <c r="AJ2" s="156">
        <v>0</v>
      </c>
      <c r="AK2" s="156">
        <v>0</v>
      </c>
      <c r="AL2" s="156">
        <v>0</v>
      </c>
      <c r="AM2" s="156">
        <v>0.17850954865265881</v>
      </c>
      <c r="AN2" s="156">
        <v>0</v>
      </c>
      <c r="AO2" s="156">
        <v>0</v>
      </c>
      <c r="AP2" s="156">
        <v>0.28525343416455279</v>
      </c>
      <c r="AQ2" s="156">
        <v>8.5334801129564916E-2</v>
      </c>
      <c r="AR2" s="156">
        <v>0</v>
      </c>
      <c r="AS2" s="156">
        <v>0.36445699516584501</v>
      </c>
      <c r="AT2" s="156">
        <v>0</v>
      </c>
      <c r="AU2" s="156">
        <v>0</v>
      </c>
      <c r="AV2" s="156">
        <v>0</v>
      </c>
      <c r="AW2" s="156">
        <v>0</v>
      </c>
      <c r="AX2" s="156">
        <v>0</v>
      </c>
      <c r="AY2" s="156">
        <v>0</v>
      </c>
      <c r="AZ2" s="157">
        <v>0</v>
      </c>
      <c r="BA2" s="156">
        <v>0</v>
      </c>
      <c r="BB2" s="156">
        <v>0</v>
      </c>
      <c r="BC2" s="156">
        <v>0</v>
      </c>
      <c r="BD2" s="156">
        <v>0</v>
      </c>
      <c r="BE2" s="156">
        <v>0.21680467142105014</v>
      </c>
      <c r="BF2" s="156">
        <v>0</v>
      </c>
      <c r="BG2" s="156">
        <v>0</v>
      </c>
      <c r="BH2" s="156">
        <v>0</v>
      </c>
      <c r="BI2" s="156">
        <v>0</v>
      </c>
      <c r="BJ2" s="156">
        <v>0</v>
      </c>
      <c r="BK2" s="156">
        <v>0</v>
      </c>
    </row>
    <row r="3" spans="1:63" x14ac:dyDescent="0.3">
      <c r="A3" s="172">
        <v>2017</v>
      </c>
      <c r="B3" s="172" t="s">
        <v>1655</v>
      </c>
      <c r="C3" s="173">
        <v>42906</v>
      </c>
      <c r="D3" s="173" t="s">
        <v>3</v>
      </c>
      <c r="E3" s="172" t="s">
        <v>163</v>
      </c>
      <c r="F3" s="174" t="s">
        <v>737</v>
      </c>
      <c r="G3" s="174"/>
      <c r="H3" s="173" t="s">
        <v>43</v>
      </c>
      <c r="I3" s="156">
        <v>29.2</v>
      </c>
      <c r="J3" s="175">
        <v>1.4379999999999999</v>
      </c>
      <c r="K3" s="175">
        <v>-15.797499999999999</v>
      </c>
      <c r="L3" s="175">
        <v>8.6090000000000018</v>
      </c>
      <c r="M3" s="164">
        <v>7.1999999999999995E-2</v>
      </c>
      <c r="N3" s="162">
        <v>1.6E-2</v>
      </c>
      <c r="O3" s="162">
        <v>0.17499999999999999</v>
      </c>
      <c r="P3" s="154">
        <v>0.74</v>
      </c>
      <c r="Q3" s="156">
        <v>0.54</v>
      </c>
      <c r="R3" s="156">
        <v>1.88</v>
      </c>
      <c r="S3" s="156">
        <v>4.0999999999999996</v>
      </c>
      <c r="T3" s="156">
        <v>4.82</v>
      </c>
      <c r="U3" s="156">
        <v>11.82</v>
      </c>
      <c r="V3" s="156">
        <v>1.6</v>
      </c>
      <c r="W3" s="156">
        <v>6.12</v>
      </c>
      <c r="X3" s="156">
        <v>8.11</v>
      </c>
      <c r="Y3" s="156">
        <v>2.78</v>
      </c>
      <c r="Z3" s="156">
        <v>2.73</v>
      </c>
      <c r="AA3" s="156">
        <v>14.73</v>
      </c>
      <c r="AB3" s="156">
        <v>11.45</v>
      </c>
      <c r="AC3" s="160">
        <v>25.66</v>
      </c>
      <c r="AD3" s="156">
        <v>0.68</v>
      </c>
      <c r="AE3" s="156">
        <v>3.2</v>
      </c>
      <c r="AF3" s="156">
        <v>6.95</v>
      </c>
      <c r="AG3" s="156">
        <v>5.92</v>
      </c>
      <c r="AH3" s="156">
        <v>1.38</v>
      </c>
      <c r="AI3" s="154">
        <v>0</v>
      </c>
      <c r="AJ3" s="156">
        <v>0</v>
      </c>
      <c r="AK3" s="156">
        <v>0</v>
      </c>
      <c r="AL3" s="156">
        <v>0</v>
      </c>
      <c r="AM3" s="156">
        <v>0.51848130065886144</v>
      </c>
      <c r="AN3" s="156">
        <v>0.9748495046689104</v>
      </c>
      <c r="AO3" s="156">
        <v>0.18742493464254853</v>
      </c>
      <c r="AP3" s="156">
        <v>0.54350855571882262</v>
      </c>
      <c r="AQ3" s="156">
        <v>0</v>
      </c>
      <c r="AR3" s="156">
        <v>0.87553680618097363</v>
      </c>
      <c r="AS3" s="156">
        <v>0.47179219794283556</v>
      </c>
      <c r="AT3" s="156">
        <v>0</v>
      </c>
      <c r="AU3" s="156">
        <v>0</v>
      </c>
      <c r="AV3" s="156">
        <v>0</v>
      </c>
      <c r="AW3" s="156">
        <v>0</v>
      </c>
      <c r="AX3" s="156">
        <v>0</v>
      </c>
      <c r="AY3" s="156">
        <v>0</v>
      </c>
      <c r="AZ3" s="157">
        <v>12.56559700431341</v>
      </c>
      <c r="BA3" s="156">
        <v>0</v>
      </c>
      <c r="BB3" s="156">
        <v>0</v>
      </c>
      <c r="BC3" s="156">
        <v>0</v>
      </c>
      <c r="BD3" s="156">
        <v>0</v>
      </c>
      <c r="BE3" s="156">
        <v>2.5990804379769634</v>
      </c>
      <c r="BF3" s="156">
        <v>6.2985258567568855E-2</v>
      </c>
      <c r="BG3" s="156">
        <v>0.23942740674029486</v>
      </c>
      <c r="BH3" s="156">
        <v>0</v>
      </c>
      <c r="BI3" s="156">
        <v>0</v>
      </c>
      <c r="BJ3" s="156">
        <v>0</v>
      </c>
      <c r="BK3" s="156">
        <v>0</v>
      </c>
    </row>
    <row r="4" spans="1:63" x14ac:dyDescent="0.3">
      <c r="A4" s="172">
        <v>2017</v>
      </c>
      <c r="B4" s="172" t="s">
        <v>1655</v>
      </c>
      <c r="C4" s="173">
        <v>42906</v>
      </c>
      <c r="D4" s="173" t="s">
        <v>3</v>
      </c>
      <c r="E4" s="172" t="s">
        <v>163</v>
      </c>
      <c r="F4" s="174" t="s">
        <v>988</v>
      </c>
      <c r="G4" s="174"/>
      <c r="H4" s="173" t="s">
        <v>42</v>
      </c>
      <c r="I4" s="156">
        <v>23.6</v>
      </c>
      <c r="J4" s="175">
        <v>1.86</v>
      </c>
      <c r="K4" s="175"/>
      <c r="L4" s="175"/>
      <c r="M4" s="177">
        <v>2.1000000000000001E-2</v>
      </c>
      <c r="N4" s="163">
        <v>3.2000000000000001E-2</v>
      </c>
      <c r="O4" s="163">
        <v>3.9E-2</v>
      </c>
      <c r="P4" s="154">
        <v>1.32</v>
      </c>
      <c r="Q4" s="156">
        <v>0.52</v>
      </c>
      <c r="R4" s="156">
        <v>2.88</v>
      </c>
      <c r="S4" s="156">
        <v>3.47</v>
      </c>
      <c r="T4" s="156">
        <v>6.75</v>
      </c>
      <c r="U4" s="156">
        <v>15.64</v>
      </c>
      <c r="V4" s="156">
        <v>3.8</v>
      </c>
      <c r="W4" s="156">
        <v>16.05</v>
      </c>
      <c r="X4" s="156">
        <v>16.73</v>
      </c>
      <c r="Y4" s="156">
        <v>4.9400000000000004</v>
      </c>
      <c r="Z4" s="156">
        <v>5.75</v>
      </c>
      <c r="AA4" s="156">
        <v>28.44</v>
      </c>
      <c r="AB4" s="156">
        <v>24.68</v>
      </c>
      <c r="AC4" s="160">
        <v>49.53</v>
      </c>
      <c r="AD4" s="156">
        <v>1.23</v>
      </c>
      <c r="AE4" s="156">
        <v>5.62</v>
      </c>
      <c r="AF4" s="156">
        <v>9.52</v>
      </c>
      <c r="AG4" s="156">
        <v>9.5</v>
      </c>
      <c r="AH4" s="156">
        <v>1.38</v>
      </c>
      <c r="AI4" s="154">
        <v>3.1568463242046128</v>
      </c>
      <c r="AJ4" s="156">
        <v>0</v>
      </c>
      <c r="AK4" s="156">
        <v>0</v>
      </c>
      <c r="AL4" s="156">
        <v>0</v>
      </c>
      <c r="AM4" s="156">
        <v>0.87310279263220447</v>
      </c>
      <c r="AN4" s="156">
        <v>1.4378419489007725</v>
      </c>
      <c r="AO4" s="156">
        <v>0.36463476392888161</v>
      </c>
      <c r="AP4" s="156">
        <v>0.59574569221628049</v>
      </c>
      <c r="AQ4" s="156">
        <v>0.21778253119429591</v>
      </c>
      <c r="AR4" s="156">
        <v>1.2348900772430185</v>
      </c>
      <c r="AS4" s="156">
        <v>0.37213547237076655</v>
      </c>
      <c r="AT4" s="156">
        <v>0</v>
      </c>
      <c r="AU4" s="156">
        <v>0</v>
      </c>
      <c r="AV4" s="156">
        <v>0.16846583481877603</v>
      </c>
      <c r="AW4" s="156">
        <v>0</v>
      </c>
      <c r="AX4" s="156">
        <v>0</v>
      </c>
      <c r="AY4" s="156">
        <v>0</v>
      </c>
      <c r="AZ4" s="157">
        <v>8.0066690433749272</v>
      </c>
      <c r="BA4" s="156">
        <v>0.98947593582887705</v>
      </c>
      <c r="BB4" s="156">
        <v>0</v>
      </c>
      <c r="BC4" s="156">
        <v>0</v>
      </c>
      <c r="BD4" s="156">
        <v>0</v>
      </c>
      <c r="BE4" s="156">
        <v>1.6818966131907311</v>
      </c>
      <c r="BF4" s="156">
        <v>0.27459536541889484</v>
      </c>
      <c r="BG4" s="156">
        <v>0.19292691622103389</v>
      </c>
      <c r="BH4" s="156">
        <v>0</v>
      </c>
      <c r="BI4" s="156">
        <v>0</v>
      </c>
      <c r="BJ4" s="156">
        <v>0</v>
      </c>
      <c r="BK4" s="156">
        <v>0</v>
      </c>
    </row>
    <row r="5" spans="1:63" x14ac:dyDescent="0.3">
      <c r="A5" s="172">
        <v>2017</v>
      </c>
      <c r="B5" s="172" t="s">
        <v>1655</v>
      </c>
      <c r="C5" s="173">
        <v>42906</v>
      </c>
      <c r="D5" s="173" t="s">
        <v>3</v>
      </c>
      <c r="E5" s="172" t="s">
        <v>162</v>
      </c>
      <c r="F5" s="174" t="s">
        <v>867</v>
      </c>
      <c r="G5" s="174"/>
      <c r="H5" s="173" t="s">
        <v>40</v>
      </c>
      <c r="I5" s="156">
        <v>16.5</v>
      </c>
      <c r="J5" s="175">
        <v>2.2400000000000002</v>
      </c>
      <c r="K5" s="175"/>
      <c r="L5" s="175"/>
      <c r="M5" s="164">
        <v>20.308</v>
      </c>
      <c r="N5" s="162">
        <v>7.1779999999999999</v>
      </c>
      <c r="O5" s="162">
        <v>78.575999999999993</v>
      </c>
      <c r="P5" s="154">
        <v>1.34</v>
      </c>
      <c r="Q5" s="156">
        <v>0.71</v>
      </c>
      <c r="R5" s="156">
        <v>3.45</v>
      </c>
      <c r="S5" s="156">
        <v>5.76</v>
      </c>
      <c r="T5" s="156">
        <v>8.5</v>
      </c>
      <c r="U5" s="156">
        <v>29.96</v>
      </c>
      <c r="V5" s="156">
        <v>4.2</v>
      </c>
      <c r="W5" s="156">
        <v>14.45</v>
      </c>
      <c r="X5" s="156">
        <v>20.69</v>
      </c>
      <c r="Y5" s="156">
        <v>5.78</v>
      </c>
      <c r="Z5" s="156">
        <v>5.84</v>
      </c>
      <c r="AA5" s="156">
        <v>36.840000000000003</v>
      </c>
      <c r="AB5" s="156">
        <v>31.65</v>
      </c>
      <c r="AC5" s="160">
        <v>69.58</v>
      </c>
      <c r="AD5" s="156">
        <v>2.2599999999999998</v>
      </c>
      <c r="AE5" s="156">
        <v>7.79</v>
      </c>
      <c r="AF5" s="156">
        <v>17.329999999999998</v>
      </c>
      <c r="AG5" s="156">
        <v>19.829999999999998</v>
      </c>
      <c r="AH5" s="156">
        <v>2.75</v>
      </c>
      <c r="AI5" s="154">
        <v>0</v>
      </c>
      <c r="AJ5" s="156">
        <v>0</v>
      </c>
      <c r="AK5" s="156">
        <v>0</v>
      </c>
      <c r="AL5" s="156">
        <v>0</v>
      </c>
      <c r="AM5" s="156">
        <v>0.24059560449087522</v>
      </c>
      <c r="AN5" s="156">
        <v>0</v>
      </c>
      <c r="AO5" s="156">
        <v>0.24165780251219587</v>
      </c>
      <c r="AP5" s="156">
        <v>0.45852442671984051</v>
      </c>
      <c r="AQ5" s="156">
        <v>0.12179981793749189</v>
      </c>
      <c r="AR5" s="156">
        <v>0</v>
      </c>
      <c r="AS5" s="156">
        <v>0</v>
      </c>
      <c r="AT5" s="156">
        <v>0</v>
      </c>
      <c r="AU5" s="156">
        <v>0</v>
      </c>
      <c r="AV5" s="156">
        <v>0</v>
      </c>
      <c r="AW5" s="156">
        <v>0</v>
      </c>
      <c r="AX5" s="156">
        <v>0</v>
      </c>
      <c r="AY5" s="156">
        <v>0</v>
      </c>
      <c r="AZ5" s="157">
        <v>1.8595344401577878</v>
      </c>
      <c r="BA5" s="156">
        <v>0</v>
      </c>
      <c r="BB5" s="156">
        <v>0</v>
      </c>
      <c r="BC5" s="156">
        <v>0</v>
      </c>
      <c r="BD5" s="156">
        <v>0</v>
      </c>
      <c r="BE5" s="156">
        <v>0.13163119337639259</v>
      </c>
      <c r="BF5" s="156">
        <v>0</v>
      </c>
      <c r="BG5" s="156">
        <v>0</v>
      </c>
      <c r="BH5" s="156">
        <v>0</v>
      </c>
      <c r="BI5" s="156">
        <v>0</v>
      </c>
      <c r="BJ5" s="156">
        <v>0</v>
      </c>
      <c r="BK5" s="156">
        <v>0</v>
      </c>
    </row>
    <row r="6" spans="1:63" x14ac:dyDescent="0.3">
      <c r="A6" s="172">
        <v>2017</v>
      </c>
      <c r="B6" s="172" t="s">
        <v>1655</v>
      </c>
      <c r="C6" s="173">
        <v>42906</v>
      </c>
      <c r="D6" s="173" t="s">
        <v>3</v>
      </c>
      <c r="E6" s="172" t="s">
        <v>162</v>
      </c>
      <c r="F6" s="174" t="s">
        <v>659</v>
      </c>
      <c r="G6" s="174"/>
      <c r="H6" s="173" t="s">
        <v>38</v>
      </c>
      <c r="I6" s="156">
        <v>19.3</v>
      </c>
      <c r="J6" s="175">
        <v>3.67</v>
      </c>
      <c r="K6" s="175"/>
      <c r="L6" s="175"/>
      <c r="M6" s="155"/>
      <c r="N6" s="175"/>
      <c r="O6" s="175"/>
      <c r="P6" s="154">
        <v>1.82</v>
      </c>
      <c r="Q6" s="156">
        <v>1.03</v>
      </c>
      <c r="R6" s="156">
        <v>4.3899999999999997</v>
      </c>
      <c r="S6" s="156">
        <v>8.25</v>
      </c>
      <c r="T6" s="156">
        <v>9.1300000000000008</v>
      </c>
      <c r="U6" s="156">
        <v>31.94</v>
      </c>
      <c r="V6" s="156">
        <v>4.92</v>
      </c>
      <c r="W6" s="156">
        <v>33.25</v>
      </c>
      <c r="X6" s="156">
        <v>22.45</v>
      </c>
      <c r="Y6" s="156">
        <v>6.57</v>
      </c>
      <c r="Z6" s="156">
        <v>10.199999999999999</v>
      </c>
      <c r="AA6" s="156">
        <v>44.74</v>
      </c>
      <c r="AB6" s="156">
        <v>39.64</v>
      </c>
      <c r="AC6" s="160">
        <v>89.1</v>
      </c>
      <c r="AD6" s="156">
        <v>2.95</v>
      </c>
      <c r="AE6" s="156">
        <v>8.84</v>
      </c>
      <c r="AF6" s="156">
        <v>22.09</v>
      </c>
      <c r="AG6" s="156">
        <v>22.12</v>
      </c>
      <c r="AH6" s="156">
        <v>4.2699999999999996</v>
      </c>
      <c r="AI6" s="154">
        <v>0</v>
      </c>
      <c r="AJ6" s="156">
        <v>0</v>
      </c>
      <c r="AK6" s="156">
        <v>1.175123899696723</v>
      </c>
      <c r="AL6" s="156">
        <v>2.768566462016421</v>
      </c>
      <c r="AM6" s="156">
        <v>0.80153857533841266</v>
      </c>
      <c r="AN6" s="156">
        <v>1.7392391100977709</v>
      </c>
      <c r="AO6" s="156">
        <v>0</v>
      </c>
      <c r="AP6" s="156">
        <v>1.6042421776758637</v>
      </c>
      <c r="AQ6" s="156">
        <v>0.47455433094163768</v>
      </c>
      <c r="AR6" s="156">
        <v>0</v>
      </c>
      <c r="AS6" s="156">
        <v>0.62983187061347212</v>
      </c>
      <c r="AT6" s="156">
        <v>0</v>
      </c>
      <c r="AU6" s="156">
        <v>0</v>
      </c>
      <c r="AV6" s="156">
        <v>0.16193875286633627</v>
      </c>
      <c r="AW6" s="156">
        <v>0</v>
      </c>
      <c r="AX6" s="156">
        <v>0</v>
      </c>
      <c r="AY6" s="156">
        <v>0</v>
      </c>
      <c r="AZ6" s="157">
        <v>6.7581362613837594</v>
      </c>
      <c r="BA6" s="156">
        <v>0</v>
      </c>
      <c r="BB6" s="156">
        <v>0</v>
      </c>
      <c r="BC6" s="156">
        <v>0</v>
      </c>
      <c r="BD6" s="156">
        <v>0</v>
      </c>
      <c r="BE6" s="156">
        <v>1.0275538131518605</v>
      </c>
      <c r="BF6" s="156">
        <v>0.11300761890672387</v>
      </c>
      <c r="BG6" s="156">
        <v>0.24776240846216432</v>
      </c>
      <c r="BH6" s="156">
        <v>0</v>
      </c>
      <c r="BI6" s="156">
        <v>0</v>
      </c>
      <c r="BJ6" s="156">
        <v>0</v>
      </c>
      <c r="BK6" s="156">
        <v>0</v>
      </c>
    </row>
    <row r="7" spans="1:63" s="25" customFormat="1" x14ac:dyDescent="0.3">
      <c r="A7" s="480">
        <v>2017</v>
      </c>
      <c r="B7" s="172" t="s">
        <v>1655</v>
      </c>
      <c r="C7" s="481">
        <v>42896</v>
      </c>
      <c r="D7" s="481" t="s">
        <v>3</v>
      </c>
      <c r="E7" s="480" t="s">
        <v>143</v>
      </c>
      <c r="F7" s="482" t="s">
        <v>717</v>
      </c>
      <c r="G7" s="482"/>
      <c r="H7" s="481" t="s">
        <v>36</v>
      </c>
      <c r="I7" s="483">
        <v>22.3</v>
      </c>
      <c r="J7" s="484">
        <v>2.25</v>
      </c>
      <c r="K7" s="484">
        <v>-17.6755</v>
      </c>
      <c r="L7" s="484">
        <v>11.347000000000003</v>
      </c>
      <c r="M7" s="490"/>
      <c r="N7" s="484"/>
      <c r="O7" s="484"/>
      <c r="P7" s="487">
        <v>0.88</v>
      </c>
      <c r="Q7" s="483">
        <v>0.42</v>
      </c>
      <c r="R7" s="483">
        <v>1.1399999999999999</v>
      </c>
      <c r="S7" s="483">
        <v>2.08</v>
      </c>
      <c r="T7" s="483">
        <v>3.17</v>
      </c>
      <c r="U7" s="483">
        <v>2.04</v>
      </c>
      <c r="V7" s="483">
        <v>1.85</v>
      </c>
      <c r="W7" s="483">
        <v>1.08</v>
      </c>
      <c r="X7" s="483">
        <v>8.65</v>
      </c>
      <c r="Y7" s="483">
        <v>0.55000000000000004</v>
      </c>
      <c r="Z7" s="483">
        <v>0.57999999999999996</v>
      </c>
      <c r="AA7" s="483">
        <v>10.57</v>
      </c>
      <c r="AB7" s="483">
        <v>2.73</v>
      </c>
      <c r="AC7" s="488">
        <v>9.65</v>
      </c>
      <c r="AD7" s="483">
        <v>1.89</v>
      </c>
      <c r="AE7" s="483">
        <v>2.79</v>
      </c>
      <c r="AF7" s="483">
        <v>3.59</v>
      </c>
      <c r="AG7" s="483">
        <v>3.17</v>
      </c>
      <c r="AH7" s="483">
        <v>0.87</v>
      </c>
      <c r="AI7" s="487">
        <v>0</v>
      </c>
      <c r="AJ7" s="483">
        <v>0</v>
      </c>
      <c r="AK7" s="483">
        <v>0</v>
      </c>
      <c r="AL7" s="483">
        <v>0</v>
      </c>
      <c r="AM7" s="483">
        <v>0.35727139632770089</v>
      </c>
      <c r="AN7" s="483">
        <v>0</v>
      </c>
      <c r="AO7" s="483">
        <v>0.2591769352772525</v>
      </c>
      <c r="AP7" s="483">
        <v>0.55981211492710314</v>
      </c>
      <c r="AQ7" s="483">
        <v>0.2516546696760813</v>
      </c>
      <c r="AR7" s="483">
        <v>0.59566964558043078</v>
      </c>
      <c r="AS7" s="483">
        <v>2.0165224306644518</v>
      </c>
      <c r="AT7" s="483">
        <v>0</v>
      </c>
      <c r="AU7" s="483">
        <v>0.2866429268590252</v>
      </c>
      <c r="AV7" s="483">
        <v>0.32967196364301843</v>
      </c>
      <c r="AW7" s="483">
        <v>0</v>
      </c>
      <c r="AX7" s="483">
        <v>0</v>
      </c>
      <c r="AY7" s="483">
        <v>0</v>
      </c>
      <c r="AZ7" s="489">
        <v>3.3339270976492839</v>
      </c>
      <c r="BA7" s="483">
        <v>0.54315341734815081</v>
      </c>
      <c r="BB7" s="483">
        <v>0</v>
      </c>
      <c r="BC7" s="483">
        <v>0</v>
      </c>
      <c r="BD7" s="483">
        <v>0</v>
      </c>
      <c r="BE7" s="483">
        <v>1.0316102909778566</v>
      </c>
      <c r="BF7" s="483">
        <v>0</v>
      </c>
      <c r="BG7" s="483">
        <v>0</v>
      </c>
      <c r="BH7" s="483">
        <v>0</v>
      </c>
      <c r="BI7" s="483">
        <v>0</v>
      </c>
      <c r="BJ7" s="483">
        <v>0</v>
      </c>
      <c r="BK7" s="483">
        <v>0</v>
      </c>
    </row>
    <row r="8" spans="1:63" x14ac:dyDescent="0.3">
      <c r="A8" s="172">
        <v>2017</v>
      </c>
      <c r="B8" s="172" t="s">
        <v>1655</v>
      </c>
      <c r="C8" s="173">
        <v>42908</v>
      </c>
      <c r="D8" s="63" t="s">
        <v>13</v>
      </c>
      <c r="E8" s="173" t="s">
        <v>167</v>
      </c>
      <c r="F8" s="174" t="s">
        <v>989</v>
      </c>
      <c r="G8" s="174"/>
      <c r="H8" s="173" t="s">
        <v>57</v>
      </c>
      <c r="I8" s="156">
        <v>18.100000000000001</v>
      </c>
      <c r="J8" s="175">
        <v>2.9159999999999999</v>
      </c>
      <c r="K8" s="175"/>
      <c r="L8" s="175"/>
      <c r="M8" s="155"/>
      <c r="N8" s="175"/>
      <c r="O8" s="175"/>
      <c r="P8" s="154">
        <v>3.6970622531915391</v>
      </c>
      <c r="Q8" s="156">
        <v>2.1867001369869468</v>
      </c>
      <c r="R8" s="156">
        <v>10.389624791176733</v>
      </c>
      <c r="S8" s="156">
        <v>23.772633896217013</v>
      </c>
      <c r="T8" s="156">
        <v>21.526449530244154</v>
      </c>
      <c r="U8" s="156">
        <v>101.45097212043078</v>
      </c>
      <c r="V8" s="156">
        <v>9.9564565107131848</v>
      </c>
      <c r="W8" s="156">
        <v>93.227817801456069</v>
      </c>
      <c r="X8" s="156">
        <v>61.496645315743436</v>
      </c>
      <c r="Y8" s="156">
        <v>13.221903764280828</v>
      </c>
      <c r="Z8" s="156">
        <v>21.138062354252362</v>
      </c>
      <c r="AA8" s="156">
        <v>94.395635409128346</v>
      </c>
      <c r="AB8" s="156">
        <v>87.444032883574494</v>
      </c>
      <c r="AC8" s="160">
        <v>163.83240188760016</v>
      </c>
      <c r="AD8" s="156">
        <v>5.4771689195600297</v>
      </c>
      <c r="AE8" s="156">
        <v>17.493561443883586</v>
      </c>
      <c r="AF8" s="156">
        <v>37.196824851237437</v>
      </c>
      <c r="AG8" s="156">
        <v>35.534304191376194</v>
      </c>
      <c r="AH8" s="156">
        <v>6.121160048761956</v>
      </c>
      <c r="AI8" s="154">
        <v>0</v>
      </c>
      <c r="AJ8" s="156">
        <v>0</v>
      </c>
      <c r="AK8" s="156">
        <v>0</v>
      </c>
      <c r="AL8" s="156">
        <v>0</v>
      </c>
      <c r="AM8" s="156">
        <v>0</v>
      </c>
      <c r="AN8" s="156">
        <v>0</v>
      </c>
      <c r="AO8" s="156">
        <v>0</v>
      </c>
      <c r="AP8" s="156">
        <v>0.38602601850111717</v>
      </c>
      <c r="AQ8" s="156">
        <v>0</v>
      </c>
      <c r="AR8" s="156">
        <v>0.36344880870346014</v>
      </c>
      <c r="AS8" s="156">
        <v>0</v>
      </c>
      <c r="AT8" s="156">
        <v>0</v>
      </c>
      <c r="AU8" s="156">
        <v>0</v>
      </c>
      <c r="AV8" s="156">
        <v>0</v>
      </c>
      <c r="AW8" s="156">
        <v>0</v>
      </c>
      <c r="AX8" s="156">
        <v>0</v>
      </c>
      <c r="AY8" s="156">
        <v>0</v>
      </c>
      <c r="AZ8" s="157">
        <v>0.96677733926371401</v>
      </c>
      <c r="BA8" s="156">
        <v>0</v>
      </c>
      <c r="BB8" s="156">
        <v>0</v>
      </c>
      <c r="BC8" s="156">
        <v>0</v>
      </c>
      <c r="BD8" s="156">
        <v>0</v>
      </c>
      <c r="BE8" s="156">
        <v>0.257203115538015</v>
      </c>
      <c r="BF8" s="156">
        <v>0</v>
      </c>
      <c r="BG8" s="156">
        <v>0</v>
      </c>
      <c r="BH8" s="156">
        <v>0</v>
      </c>
      <c r="BI8" s="156">
        <v>0</v>
      </c>
      <c r="BJ8" s="156">
        <v>0</v>
      </c>
      <c r="BK8" s="156">
        <v>0</v>
      </c>
    </row>
    <row r="9" spans="1:63" x14ac:dyDescent="0.3">
      <c r="A9" s="172">
        <v>2017</v>
      </c>
      <c r="B9" s="172" t="s">
        <v>1655</v>
      </c>
      <c r="C9" s="173">
        <v>42908</v>
      </c>
      <c r="D9" s="63" t="s">
        <v>13</v>
      </c>
      <c r="E9" s="173" t="s">
        <v>167</v>
      </c>
      <c r="F9" s="174" t="s">
        <v>864</v>
      </c>
      <c r="G9" s="174"/>
      <c r="H9" s="173" t="s">
        <v>56</v>
      </c>
      <c r="I9" s="156">
        <v>17.8</v>
      </c>
      <c r="J9" s="175">
        <v>3.15</v>
      </c>
      <c r="K9" s="175"/>
      <c r="L9" s="175"/>
      <c r="M9" s="164">
        <v>1.2661136364137739</v>
      </c>
      <c r="N9" s="162">
        <v>0.47209678137496364</v>
      </c>
      <c r="O9" s="162">
        <v>5.774</v>
      </c>
      <c r="P9" s="154">
        <v>2.3647381054658023</v>
      </c>
      <c r="Q9" s="156">
        <v>1.7528857623948388</v>
      </c>
      <c r="R9" s="156">
        <v>4.153465188925245</v>
      </c>
      <c r="S9" s="156">
        <v>6.6512396613044693</v>
      </c>
      <c r="T9" s="156">
        <v>8.7314283033491904</v>
      </c>
      <c r="U9" s="156">
        <v>21.760428586008</v>
      </c>
      <c r="V9" s="156">
        <v>3.9827587914542559</v>
      </c>
      <c r="W9" s="156">
        <v>24.293422804140732</v>
      </c>
      <c r="X9" s="156">
        <v>16.877766667713185</v>
      </c>
      <c r="Y9" s="156">
        <v>5.4222612801201802</v>
      </c>
      <c r="Z9" s="156">
        <v>7.3325192685440088</v>
      </c>
      <c r="AA9" s="156">
        <v>26.591584389334653</v>
      </c>
      <c r="AB9" s="156">
        <v>24.978522615559104</v>
      </c>
      <c r="AC9" s="160">
        <v>47.682900008861438</v>
      </c>
      <c r="AD9" s="156">
        <v>2.2708825093708054</v>
      </c>
      <c r="AE9" s="156">
        <v>6.6073440365376186</v>
      </c>
      <c r="AF9" s="156">
        <v>16.012457612752861</v>
      </c>
      <c r="AG9" s="156">
        <v>13.823744714058849</v>
      </c>
      <c r="AH9" s="156">
        <v>3.6386151703375536</v>
      </c>
      <c r="AI9" s="154">
        <v>0</v>
      </c>
      <c r="AJ9" s="156">
        <v>0</v>
      </c>
      <c r="AK9" s="156">
        <v>0</v>
      </c>
      <c r="AL9" s="156">
        <v>0</v>
      </c>
      <c r="AM9" s="156">
        <v>0.25314977054651644</v>
      </c>
      <c r="AN9" s="156">
        <v>0</v>
      </c>
      <c r="AO9" s="156">
        <v>0.22798615161863339</v>
      </c>
      <c r="AP9" s="156">
        <v>0.73972858229649796</v>
      </c>
      <c r="AQ9" s="156">
        <v>0.23705121598076023</v>
      </c>
      <c r="AR9" s="156">
        <v>0</v>
      </c>
      <c r="AS9" s="156">
        <v>0.94454342437851235</v>
      </c>
      <c r="AT9" s="156">
        <v>0</v>
      </c>
      <c r="AU9" s="156">
        <v>0</v>
      </c>
      <c r="AV9" s="156">
        <v>0</v>
      </c>
      <c r="AW9" s="156">
        <v>0</v>
      </c>
      <c r="AX9" s="156">
        <v>0</v>
      </c>
      <c r="AY9" s="156">
        <v>0</v>
      </c>
      <c r="AZ9" s="157">
        <v>2.5186581265797932</v>
      </c>
      <c r="BA9" s="156">
        <v>0</v>
      </c>
      <c r="BB9" s="156">
        <v>0</v>
      </c>
      <c r="BC9" s="156">
        <v>0</v>
      </c>
      <c r="BD9" s="156">
        <v>0</v>
      </c>
      <c r="BE9" s="156">
        <v>0.23503889666004071</v>
      </c>
      <c r="BF9" s="156">
        <v>0.13241061130334483</v>
      </c>
      <c r="BG9" s="156">
        <v>0.3054700728852241</v>
      </c>
      <c r="BH9" s="156">
        <v>0</v>
      </c>
      <c r="BI9" s="156">
        <v>0</v>
      </c>
      <c r="BJ9" s="156">
        <v>0</v>
      </c>
      <c r="BK9" s="156">
        <v>0</v>
      </c>
    </row>
    <row r="10" spans="1:63" x14ac:dyDescent="0.3">
      <c r="A10" s="172">
        <v>2017</v>
      </c>
      <c r="B10" s="172" t="s">
        <v>1655</v>
      </c>
      <c r="C10" s="173">
        <v>42908</v>
      </c>
      <c r="D10" s="63" t="s">
        <v>13</v>
      </c>
      <c r="E10" s="173" t="s">
        <v>167</v>
      </c>
      <c r="F10" s="174" t="s">
        <v>733</v>
      </c>
      <c r="G10" s="174"/>
      <c r="H10" s="173" t="s">
        <v>54</v>
      </c>
      <c r="I10" s="156">
        <v>16</v>
      </c>
      <c r="J10" s="175">
        <v>2.8919999999999999</v>
      </c>
      <c r="K10" s="175"/>
      <c r="L10" s="175"/>
      <c r="M10" s="164">
        <v>0.185</v>
      </c>
      <c r="N10" s="162">
        <v>6.4899999999999999E-2</v>
      </c>
      <c r="O10" s="162">
        <v>0.46400000000000002</v>
      </c>
      <c r="P10" s="154">
        <v>1.9633294266944046</v>
      </c>
      <c r="Q10" s="156">
        <v>1.1122533718688954</v>
      </c>
      <c r="R10" s="156">
        <v>4.2725889238520232</v>
      </c>
      <c r="S10" s="156">
        <v>4.5949543070143024</v>
      </c>
      <c r="T10" s="156">
        <v>8.0347240548513739</v>
      </c>
      <c r="U10" s="156">
        <v>12.305137351690956</v>
      </c>
      <c r="V10" s="156">
        <v>3.1848503836970923</v>
      </c>
      <c r="W10" s="156">
        <v>18.347673685585949</v>
      </c>
      <c r="X10" s="156">
        <v>14.552418863852782</v>
      </c>
      <c r="Y10" s="156">
        <v>4.8042596422654968</v>
      </c>
      <c r="Z10" s="156">
        <v>4.3434698715579039</v>
      </c>
      <c r="AA10" s="156">
        <v>27.40678852659471</v>
      </c>
      <c r="AB10" s="156">
        <v>20.874875618266664</v>
      </c>
      <c r="AC10" s="160">
        <v>49.522544861649635</v>
      </c>
      <c r="AD10" s="156">
        <v>2.0401002098490615</v>
      </c>
      <c r="AE10" s="156">
        <v>6.2535962685824451</v>
      </c>
      <c r="AF10" s="156">
        <v>14.552814857109887</v>
      </c>
      <c r="AG10" s="156">
        <v>12.338991895457273</v>
      </c>
      <c r="AH10" s="156">
        <v>1.8599531791846666</v>
      </c>
      <c r="AI10" s="154">
        <v>0</v>
      </c>
      <c r="AJ10" s="156">
        <v>0</v>
      </c>
      <c r="AK10" s="156">
        <v>16.892724745134384</v>
      </c>
      <c r="AL10" s="156">
        <v>46.877195495267785</v>
      </c>
      <c r="AM10" s="156">
        <v>4.5892647513129443</v>
      </c>
      <c r="AN10" s="156">
        <v>0.58391920623671156</v>
      </c>
      <c r="AO10" s="156">
        <v>0</v>
      </c>
      <c r="AP10" s="156">
        <v>0.35186901451961694</v>
      </c>
      <c r="AQ10" s="156">
        <v>0</v>
      </c>
      <c r="AR10" s="156">
        <v>0.74312635156008644</v>
      </c>
      <c r="AS10" s="156">
        <v>1.6627380108669974</v>
      </c>
      <c r="AT10" s="156">
        <v>0</v>
      </c>
      <c r="AU10" s="156">
        <v>0</v>
      </c>
      <c r="AV10" s="156">
        <v>0.38311708371949338</v>
      </c>
      <c r="AW10" s="156">
        <v>0</v>
      </c>
      <c r="AX10" s="156">
        <v>1.7916434970651838</v>
      </c>
      <c r="AY10" s="156">
        <v>0</v>
      </c>
      <c r="AZ10" s="157">
        <v>3.8472121972051099</v>
      </c>
      <c r="BA10" s="156">
        <v>0</v>
      </c>
      <c r="BB10" s="156">
        <v>0</v>
      </c>
      <c r="BC10" s="156">
        <v>0.64097930182267526</v>
      </c>
      <c r="BD10" s="156">
        <v>0</v>
      </c>
      <c r="BE10" s="156">
        <v>25.688013592832874</v>
      </c>
      <c r="BF10" s="156">
        <v>0.22215013901760888</v>
      </c>
      <c r="BG10" s="156">
        <v>0</v>
      </c>
      <c r="BH10" s="156">
        <v>0</v>
      </c>
      <c r="BI10" s="156">
        <v>0</v>
      </c>
      <c r="BJ10" s="156">
        <v>0</v>
      </c>
      <c r="BK10" s="156">
        <v>0</v>
      </c>
    </row>
    <row r="11" spans="1:63" x14ac:dyDescent="0.3">
      <c r="A11" s="172">
        <v>2017</v>
      </c>
      <c r="B11" s="172" t="s">
        <v>1655</v>
      </c>
      <c r="C11" s="173">
        <v>42896</v>
      </c>
      <c r="D11" s="63" t="s">
        <v>13</v>
      </c>
      <c r="E11" s="173" t="s">
        <v>143</v>
      </c>
      <c r="F11" s="174" t="s">
        <v>717</v>
      </c>
      <c r="G11" s="174"/>
      <c r="H11" s="173" t="s">
        <v>52</v>
      </c>
      <c r="I11" s="156">
        <v>14.3</v>
      </c>
      <c r="J11" s="175">
        <v>2.605</v>
      </c>
      <c r="K11" s="175">
        <v>-17.737500000000001</v>
      </c>
      <c r="L11" s="175">
        <v>11.391000000000002</v>
      </c>
      <c r="M11" s="155"/>
      <c r="N11" s="175"/>
      <c r="O11" s="175"/>
      <c r="P11" s="154">
        <v>1.865</v>
      </c>
      <c r="Q11" s="156">
        <v>1</v>
      </c>
      <c r="R11" s="156">
        <v>2.8499999999999996</v>
      </c>
      <c r="S11" s="156">
        <v>2.3250000000000002</v>
      </c>
      <c r="T11" s="156">
        <v>7.0589520033945714</v>
      </c>
      <c r="U11" s="156">
        <v>2.8730249976136992</v>
      </c>
      <c r="V11" s="156">
        <v>2.2450000000000001</v>
      </c>
      <c r="W11" s="156">
        <v>2.2903333195222193</v>
      </c>
      <c r="X11" s="156">
        <v>10.673468429816353</v>
      </c>
      <c r="Y11" s="156">
        <v>0.53940629037412391</v>
      </c>
      <c r="Z11" s="156">
        <v>0.66405609721467185</v>
      </c>
      <c r="AA11" s="156">
        <v>13.58</v>
      </c>
      <c r="AB11" s="156">
        <v>2.7309717025504359</v>
      </c>
      <c r="AC11" s="160">
        <v>10.664999999999999</v>
      </c>
      <c r="AD11" s="156">
        <v>2.1188602321775112</v>
      </c>
      <c r="AE11" s="156">
        <v>3.24</v>
      </c>
      <c r="AF11" s="156">
        <v>4.05</v>
      </c>
      <c r="AG11" s="156">
        <v>3.9350000000000005</v>
      </c>
      <c r="AH11" s="156">
        <v>1.2933881255212678</v>
      </c>
      <c r="AI11" s="154">
        <v>0</v>
      </c>
      <c r="AJ11" s="156">
        <v>0</v>
      </c>
      <c r="AK11" s="156">
        <v>0</v>
      </c>
      <c r="AL11" s="156">
        <v>0</v>
      </c>
      <c r="AM11" s="156">
        <v>0.48358491447798857</v>
      </c>
      <c r="AN11" s="156">
        <v>0</v>
      </c>
      <c r="AO11" s="156">
        <v>0</v>
      </c>
      <c r="AP11" s="156">
        <v>1.0109511792379349</v>
      </c>
      <c r="AQ11" s="156">
        <v>0.41677571112565032</v>
      </c>
      <c r="AR11" s="156">
        <v>0.90348786490949307</v>
      </c>
      <c r="AS11" s="156">
        <v>3.442695716477076</v>
      </c>
      <c r="AT11" s="156">
        <v>0</v>
      </c>
      <c r="AU11" s="156">
        <v>0.36076969810262643</v>
      </c>
      <c r="AV11" s="156">
        <v>0.3710042994672399</v>
      </c>
      <c r="AW11" s="156">
        <v>0</v>
      </c>
      <c r="AX11" s="156">
        <v>0</v>
      </c>
      <c r="AY11" s="156">
        <v>0</v>
      </c>
      <c r="AZ11" s="157">
        <v>6.6193805908193726</v>
      </c>
      <c r="BA11" s="156">
        <v>1.2168022849854025</v>
      </c>
      <c r="BB11" s="156">
        <v>0</v>
      </c>
      <c r="BC11" s="156">
        <v>0</v>
      </c>
      <c r="BD11" s="156">
        <v>0</v>
      </c>
      <c r="BE11" s="156">
        <v>2.3337734056142319</v>
      </c>
      <c r="BF11" s="156">
        <v>0.20582920522167181</v>
      </c>
      <c r="BG11" s="156">
        <v>0</v>
      </c>
      <c r="BH11" s="156">
        <v>0</v>
      </c>
      <c r="BI11" s="156">
        <v>0</v>
      </c>
      <c r="BJ11" s="156">
        <v>0</v>
      </c>
      <c r="BK11" s="156">
        <v>0</v>
      </c>
    </row>
    <row r="12" spans="1:63" x14ac:dyDescent="0.3">
      <c r="A12" s="172">
        <v>2017</v>
      </c>
      <c r="B12" s="172" t="s">
        <v>1655</v>
      </c>
      <c r="C12" s="173">
        <v>42908</v>
      </c>
      <c r="D12" s="63" t="s">
        <v>13</v>
      </c>
      <c r="E12" s="173" t="s">
        <v>167</v>
      </c>
      <c r="F12" s="174" t="s">
        <v>864</v>
      </c>
      <c r="G12" s="174"/>
      <c r="H12" s="173" t="s">
        <v>58</v>
      </c>
      <c r="I12" s="156">
        <v>11</v>
      </c>
      <c r="J12" s="175">
        <v>3.01</v>
      </c>
      <c r="K12" s="175"/>
      <c r="L12" s="175"/>
      <c r="M12" s="164">
        <v>1.2763470626332247</v>
      </c>
      <c r="N12" s="162">
        <v>0.53409363250261166</v>
      </c>
      <c r="O12" s="162">
        <v>5.9009999999999998</v>
      </c>
      <c r="P12" s="154">
        <v>1.346570332356146</v>
      </c>
      <c r="Q12" s="156">
        <v>0.89354181024954193</v>
      </c>
      <c r="R12" s="156">
        <v>3.8498715514178858</v>
      </c>
      <c r="S12" s="156">
        <v>5.3477430781110762</v>
      </c>
      <c r="T12" s="156">
        <v>6.603282153122132</v>
      </c>
      <c r="U12" s="156">
        <v>22.510397343940902</v>
      </c>
      <c r="V12" s="156">
        <v>4.0741090678282976</v>
      </c>
      <c r="W12" s="156">
        <v>24.787895042309813</v>
      </c>
      <c r="X12" s="156">
        <v>18.386190455748295</v>
      </c>
      <c r="Y12" s="156">
        <v>4.7934305537562629</v>
      </c>
      <c r="Z12" s="156">
        <v>6.1444989661034697</v>
      </c>
      <c r="AA12" s="156">
        <v>25.882309384767325</v>
      </c>
      <c r="AB12" s="156">
        <v>21.551415159131942</v>
      </c>
      <c r="AC12" s="160">
        <v>48.824993722588772</v>
      </c>
      <c r="AD12" s="156">
        <v>1.674588241955141</v>
      </c>
      <c r="AE12" s="156">
        <v>4.1301187595680497</v>
      </c>
      <c r="AF12" s="156">
        <v>10.55660693304133</v>
      </c>
      <c r="AG12" s="156">
        <v>8.9462775407800592</v>
      </c>
      <c r="AH12" s="156">
        <v>1.602224369734583</v>
      </c>
      <c r="AI12" s="154">
        <v>0</v>
      </c>
      <c r="AJ12" s="156">
        <v>0</v>
      </c>
      <c r="AK12" s="156">
        <v>0</v>
      </c>
      <c r="AL12" s="156">
        <v>0</v>
      </c>
      <c r="AM12" s="156">
        <v>0</v>
      </c>
      <c r="AN12" s="156">
        <v>0</v>
      </c>
      <c r="AO12" s="156">
        <v>0.20936785986290934</v>
      </c>
      <c r="AP12" s="156">
        <v>0.65255140898705244</v>
      </c>
      <c r="AQ12" s="156">
        <v>0</v>
      </c>
      <c r="AR12" s="156">
        <v>1.042985529322163</v>
      </c>
      <c r="AS12" s="156">
        <v>0.53052031719009018</v>
      </c>
      <c r="AT12" s="156">
        <v>0</v>
      </c>
      <c r="AU12" s="156">
        <v>0</v>
      </c>
      <c r="AV12" s="156">
        <v>0</v>
      </c>
      <c r="AW12" s="156">
        <v>0</v>
      </c>
      <c r="AX12" s="156">
        <v>0</v>
      </c>
      <c r="AY12" s="156">
        <v>0</v>
      </c>
      <c r="AZ12" s="157">
        <v>0.89079234801308183</v>
      </c>
      <c r="BA12" s="156">
        <v>0</v>
      </c>
      <c r="BB12" s="156">
        <v>0</v>
      </c>
      <c r="BC12" s="156">
        <v>0</v>
      </c>
      <c r="BD12" s="156">
        <v>0</v>
      </c>
      <c r="BE12" s="156">
        <v>0</v>
      </c>
      <c r="BF12" s="156">
        <v>0.15162223914699161</v>
      </c>
      <c r="BG12" s="156">
        <v>0.22236100533130235</v>
      </c>
      <c r="BH12" s="156">
        <v>0</v>
      </c>
      <c r="BI12" s="156">
        <v>0</v>
      </c>
      <c r="BJ12" s="156">
        <v>0</v>
      </c>
      <c r="BK12" s="156">
        <v>0</v>
      </c>
    </row>
    <row r="13" spans="1:63" s="25" customFormat="1" x14ac:dyDescent="0.3">
      <c r="A13" s="480">
        <v>2017</v>
      </c>
      <c r="B13" s="172" t="s">
        <v>1655</v>
      </c>
      <c r="C13" s="481">
        <v>42908</v>
      </c>
      <c r="D13" s="25" t="s">
        <v>13</v>
      </c>
      <c r="E13" s="481" t="s">
        <v>167</v>
      </c>
      <c r="F13" s="482" t="s">
        <v>864</v>
      </c>
      <c r="G13" s="482"/>
      <c r="H13" s="481" t="s">
        <v>59</v>
      </c>
      <c r="I13" s="483">
        <v>10.7</v>
      </c>
      <c r="J13" s="484">
        <v>2.96</v>
      </c>
      <c r="K13" s="484">
        <v>-18.526499999999999</v>
      </c>
      <c r="L13" s="484">
        <v>11.060000000000002</v>
      </c>
      <c r="M13" s="485">
        <v>2.1920000000000002</v>
      </c>
      <c r="N13" s="486">
        <v>1.012</v>
      </c>
      <c r="O13" s="486">
        <v>9.2720000000000002</v>
      </c>
      <c r="P13" s="487">
        <v>1.9136758623738874</v>
      </c>
      <c r="Q13" s="483">
        <v>1.2595439580730343</v>
      </c>
      <c r="R13" s="483">
        <v>5.2240516292261407</v>
      </c>
      <c r="S13" s="483">
        <v>7.9641419707401804</v>
      </c>
      <c r="T13" s="483">
        <v>10.80805454349775</v>
      </c>
      <c r="U13" s="483">
        <v>25.069098322339169</v>
      </c>
      <c r="V13" s="483">
        <v>4.26700269803107</v>
      </c>
      <c r="W13" s="483">
        <v>26.544992649772638</v>
      </c>
      <c r="X13" s="483">
        <v>19.022950316065202</v>
      </c>
      <c r="Y13" s="483">
        <v>4.9350344287045891</v>
      </c>
      <c r="Z13" s="483">
        <v>6.4364264093992425</v>
      </c>
      <c r="AA13" s="483">
        <v>26.585894593567865</v>
      </c>
      <c r="AB13" s="483">
        <v>22.929790778720033</v>
      </c>
      <c r="AC13" s="488">
        <v>50.693893250886951</v>
      </c>
      <c r="AD13" s="483">
        <v>1.9669217142287097</v>
      </c>
      <c r="AE13" s="483">
        <v>4.8194271953896539</v>
      </c>
      <c r="AF13" s="483">
        <v>11.025233332710389</v>
      </c>
      <c r="AG13" s="483">
        <v>9.2011895707138649</v>
      </c>
      <c r="AH13" s="483">
        <v>1.6821355660031796</v>
      </c>
      <c r="AI13" s="487">
        <v>0</v>
      </c>
      <c r="AJ13" s="483">
        <v>0</v>
      </c>
      <c r="AK13" s="483">
        <v>0</v>
      </c>
      <c r="AL13" s="483">
        <v>0</v>
      </c>
      <c r="AM13" s="483">
        <v>0</v>
      </c>
      <c r="AN13" s="483">
        <v>0</v>
      </c>
      <c r="AO13" s="483">
        <v>0</v>
      </c>
      <c r="AP13" s="483">
        <v>0.88576805129634817</v>
      </c>
      <c r="AQ13" s="483">
        <v>0.23059659882910513</v>
      </c>
      <c r="AR13" s="483">
        <v>1.1536427841278694</v>
      </c>
      <c r="AS13" s="483">
        <v>0.54531177399869901</v>
      </c>
      <c r="AT13" s="483">
        <v>0</v>
      </c>
      <c r="AU13" s="483">
        <v>0</v>
      </c>
      <c r="AV13" s="483">
        <v>0.18342161509153426</v>
      </c>
      <c r="AW13" s="483">
        <v>0</v>
      </c>
      <c r="AX13" s="483">
        <v>0</v>
      </c>
      <c r="AY13" s="483">
        <v>0</v>
      </c>
      <c r="AZ13" s="489">
        <v>1.235001393922498</v>
      </c>
      <c r="BA13" s="483">
        <v>0</v>
      </c>
      <c r="BB13" s="483">
        <v>0</v>
      </c>
      <c r="BC13" s="483">
        <v>0</v>
      </c>
      <c r="BD13" s="483">
        <v>0</v>
      </c>
      <c r="BE13" s="483">
        <v>0.17484434532106682</v>
      </c>
      <c r="BF13" s="483">
        <v>0</v>
      </c>
      <c r="BG13" s="483">
        <v>0.32692593625127775</v>
      </c>
      <c r="BH13" s="483">
        <v>0</v>
      </c>
      <c r="BI13" s="483">
        <v>0</v>
      </c>
      <c r="BJ13" s="483">
        <v>0</v>
      </c>
      <c r="BK13" s="483">
        <v>0</v>
      </c>
    </row>
    <row r="14" spans="1:63" x14ac:dyDescent="0.3">
      <c r="A14" s="172">
        <v>2017</v>
      </c>
      <c r="B14" s="172" t="s">
        <v>1655</v>
      </c>
      <c r="C14" s="173">
        <v>42907</v>
      </c>
      <c r="D14" s="173" t="s">
        <v>14</v>
      </c>
      <c r="E14" s="173" t="s">
        <v>166</v>
      </c>
      <c r="F14" s="174" t="s">
        <v>988</v>
      </c>
      <c r="G14" s="174"/>
      <c r="H14" s="173" t="s">
        <v>51</v>
      </c>
      <c r="I14" s="156">
        <v>18.8</v>
      </c>
      <c r="J14" s="175">
        <v>2.0499999999999998</v>
      </c>
      <c r="K14" s="175"/>
      <c r="L14" s="175"/>
      <c r="M14" s="177">
        <v>2.1999999999999999E-2</v>
      </c>
      <c r="N14" s="163">
        <v>3.3000000000000002E-2</v>
      </c>
      <c r="O14" s="163">
        <v>0.04</v>
      </c>
      <c r="P14" s="154">
        <v>0.91050639769848885</v>
      </c>
      <c r="Q14" s="156">
        <v>0.454706869610709</v>
      </c>
      <c r="R14" s="156">
        <v>2.3310236989329853</v>
      </c>
      <c r="S14" s="156">
        <v>4.5861268596783527</v>
      </c>
      <c r="T14" s="156">
        <v>6.0509547937264454</v>
      </c>
      <c r="U14" s="156">
        <v>17.409885545714392</v>
      </c>
      <c r="V14" s="156">
        <v>2.5267017710121502</v>
      </c>
      <c r="W14" s="156">
        <v>10.676413986117526</v>
      </c>
      <c r="X14" s="156">
        <v>12.072819022579726</v>
      </c>
      <c r="Y14" s="156">
        <v>4.0522637752775426</v>
      </c>
      <c r="Z14" s="156">
        <v>4.1337921316969304</v>
      </c>
      <c r="AA14" s="156">
        <v>21.867945140285393</v>
      </c>
      <c r="AB14" s="156">
        <v>17.632127403378945</v>
      </c>
      <c r="AC14" s="160">
        <v>38.856003594327852</v>
      </c>
      <c r="AD14" s="156">
        <v>1.2791241073226498</v>
      </c>
      <c r="AE14" s="156">
        <v>4.8516572766913608</v>
      </c>
      <c r="AF14" s="156">
        <v>9.6147832981719077</v>
      </c>
      <c r="AG14" s="156">
        <v>10.466034260322473</v>
      </c>
      <c r="AH14" s="156">
        <v>1.8984922509978224</v>
      </c>
      <c r="AI14" s="154">
        <v>4.0089784165414413</v>
      </c>
      <c r="AJ14" s="156">
        <v>0</v>
      </c>
      <c r="AK14" s="156">
        <v>0.96116908301782245</v>
      </c>
      <c r="AL14" s="156">
        <v>3.0237199775014902</v>
      </c>
      <c r="AM14" s="156">
        <v>1.2560716594330041</v>
      </c>
      <c r="AN14" s="156">
        <v>1.9928155877735709</v>
      </c>
      <c r="AO14" s="156">
        <v>0.51486304581003994</v>
      </c>
      <c r="AP14" s="156">
        <v>0.75630252100840334</v>
      </c>
      <c r="AQ14" s="156">
        <v>0.17370024933050146</v>
      </c>
      <c r="AR14" s="156">
        <v>1.3998522485917442</v>
      </c>
      <c r="AS14" s="156">
        <v>0.47015421553236686</v>
      </c>
      <c r="AT14" s="156">
        <v>0</v>
      </c>
      <c r="AU14" s="156">
        <v>0</v>
      </c>
      <c r="AV14" s="156">
        <v>0.1121987256441038</v>
      </c>
      <c r="AW14" s="156">
        <v>0</v>
      </c>
      <c r="AX14" s="156">
        <v>1.9589066395789083</v>
      </c>
      <c r="AY14" s="156">
        <v>0</v>
      </c>
      <c r="AZ14" s="157">
        <v>12.175750300120049</v>
      </c>
      <c r="BA14" s="156">
        <v>2.1071059192907931</v>
      </c>
      <c r="BB14" s="156">
        <v>0</v>
      </c>
      <c r="BC14" s="156">
        <v>0</v>
      </c>
      <c r="BD14" s="156">
        <v>0</v>
      </c>
      <c r="BE14" s="156">
        <v>12.51833040908671</v>
      </c>
      <c r="BF14" s="156">
        <v>0.8432911626188937</v>
      </c>
      <c r="BG14" s="156">
        <v>0</v>
      </c>
      <c r="BH14" s="156">
        <v>0</v>
      </c>
      <c r="BI14" s="156">
        <v>0</v>
      </c>
      <c r="BJ14" s="156">
        <v>0</v>
      </c>
      <c r="BK14" s="156">
        <v>0</v>
      </c>
    </row>
    <row r="15" spans="1:63" x14ac:dyDescent="0.3">
      <c r="A15" s="172">
        <v>2017</v>
      </c>
      <c r="B15" s="172" t="s">
        <v>1655</v>
      </c>
      <c r="C15" s="173">
        <v>42907</v>
      </c>
      <c r="D15" s="173" t="s">
        <v>14</v>
      </c>
      <c r="E15" s="173" t="s">
        <v>165</v>
      </c>
      <c r="F15" s="174" t="s">
        <v>989</v>
      </c>
      <c r="G15" s="174"/>
      <c r="H15" s="173" t="s">
        <v>50</v>
      </c>
      <c r="I15" s="156">
        <v>21.7</v>
      </c>
      <c r="J15" s="175">
        <v>2.37</v>
      </c>
      <c r="K15" s="175"/>
      <c r="L15" s="175"/>
      <c r="M15" s="155"/>
      <c r="N15" s="175"/>
      <c r="O15" s="175"/>
      <c r="P15" s="154">
        <v>2.3841208549053072</v>
      </c>
      <c r="Q15" s="156">
        <v>1.3036811206223096</v>
      </c>
      <c r="R15" s="156">
        <v>5.2415713218978244</v>
      </c>
      <c r="S15" s="156">
        <v>13.201502225742493</v>
      </c>
      <c r="T15" s="156">
        <v>11.079017821903179</v>
      </c>
      <c r="U15" s="156">
        <v>55.825730252146641</v>
      </c>
      <c r="V15" s="156">
        <v>6.300588310529001</v>
      </c>
      <c r="W15" s="156">
        <v>47.854802032711831</v>
      </c>
      <c r="X15" s="156">
        <v>33.647803924978625</v>
      </c>
      <c r="Y15" s="156">
        <v>8.2399069835594894</v>
      </c>
      <c r="Z15" s="156">
        <v>13.263125863678624</v>
      </c>
      <c r="AA15" s="156">
        <v>51.462021216083293</v>
      </c>
      <c r="AB15" s="156">
        <v>50.909267450333886</v>
      </c>
      <c r="AC15" s="160">
        <v>91.045972567936502</v>
      </c>
      <c r="AD15" s="156">
        <v>3.0146561639000513</v>
      </c>
      <c r="AE15" s="156">
        <v>9.0784310151947771</v>
      </c>
      <c r="AF15" s="156">
        <v>17.904811718187716</v>
      </c>
      <c r="AG15" s="156">
        <v>23.217057202148119</v>
      </c>
      <c r="AH15" s="156">
        <v>3.3779450066093455</v>
      </c>
      <c r="AI15" s="154">
        <v>0</v>
      </c>
      <c r="AJ15" s="156">
        <v>0</v>
      </c>
      <c r="AK15" s="156">
        <v>0</v>
      </c>
      <c r="AL15" s="156">
        <v>0</v>
      </c>
      <c r="AM15" s="156">
        <v>0.35687875150060022</v>
      </c>
      <c r="AN15" s="156">
        <v>0.57000720288115236</v>
      </c>
      <c r="AO15" s="156">
        <v>0.28614184135192539</v>
      </c>
      <c r="AP15" s="156">
        <v>0.51438175270108044</v>
      </c>
      <c r="AQ15" s="156">
        <v>0</v>
      </c>
      <c r="AR15" s="156">
        <v>0.52590636254501799</v>
      </c>
      <c r="AS15" s="156">
        <v>0.38341416566626652</v>
      </c>
      <c r="AT15" s="156">
        <v>0</v>
      </c>
      <c r="AU15" s="156">
        <v>0</v>
      </c>
      <c r="AV15" s="156">
        <v>0</v>
      </c>
      <c r="AW15" s="156">
        <v>0</v>
      </c>
      <c r="AX15" s="156">
        <v>0</v>
      </c>
      <c r="AY15" s="156">
        <v>0</v>
      </c>
      <c r="AZ15" s="157">
        <v>2.4524561824729889</v>
      </c>
      <c r="BA15" s="156">
        <v>0</v>
      </c>
      <c r="BB15" s="156">
        <v>0</v>
      </c>
      <c r="BC15" s="156">
        <v>0</v>
      </c>
      <c r="BD15" s="156">
        <v>0</v>
      </c>
      <c r="BE15" s="156">
        <v>0.31846338535414165</v>
      </c>
      <c r="BF15" s="156">
        <v>0</v>
      </c>
      <c r="BG15" s="156">
        <v>0</v>
      </c>
      <c r="BH15" s="156">
        <v>0</v>
      </c>
      <c r="BI15" s="156">
        <v>0</v>
      </c>
      <c r="BJ15" s="156">
        <v>0</v>
      </c>
      <c r="BK15" s="156">
        <v>0</v>
      </c>
    </row>
    <row r="16" spans="1:63" x14ac:dyDescent="0.3">
      <c r="A16" s="172">
        <v>2017</v>
      </c>
      <c r="B16" s="172" t="s">
        <v>1655</v>
      </c>
      <c r="C16" s="173">
        <v>42907</v>
      </c>
      <c r="D16" s="173" t="s">
        <v>14</v>
      </c>
      <c r="E16" s="173" t="s">
        <v>165</v>
      </c>
      <c r="F16" s="174" t="s">
        <v>679</v>
      </c>
      <c r="G16" s="174"/>
      <c r="H16" s="173" t="s">
        <v>48</v>
      </c>
      <c r="I16" s="156">
        <v>15.5</v>
      </c>
      <c r="J16" s="175">
        <v>2.0499999999999998</v>
      </c>
      <c r="K16" s="175"/>
      <c r="L16" s="175"/>
      <c r="M16" s="164">
        <v>0.3717409914142264</v>
      </c>
      <c r="N16" s="162">
        <v>5.6599871719305965E-2</v>
      </c>
      <c r="O16" s="162">
        <v>0.439</v>
      </c>
      <c r="P16" s="154">
        <v>1.6307070463697557</v>
      </c>
      <c r="Q16" s="156">
        <v>0.70657119366683718</v>
      </c>
      <c r="R16" s="156">
        <v>4.8105221369178217</v>
      </c>
      <c r="S16" s="156">
        <v>7.7296379194858877</v>
      </c>
      <c r="T16" s="156">
        <v>11.666339239851801</v>
      </c>
      <c r="U16" s="156">
        <v>32.623491545043485</v>
      </c>
      <c r="V16" s="156">
        <v>5.4132319290766269</v>
      </c>
      <c r="W16" s="156">
        <v>35.858619309093498</v>
      </c>
      <c r="X16" s="156">
        <v>22.934970757820999</v>
      </c>
      <c r="Y16" s="156">
        <v>6.5588620479404387</v>
      </c>
      <c r="Z16" s="156">
        <v>8.700588808367975</v>
      </c>
      <c r="AA16" s="156">
        <v>37.100706655032667</v>
      </c>
      <c r="AB16" s="156">
        <v>32.704138614193646</v>
      </c>
      <c r="AC16" s="160">
        <v>61.234807406228938</v>
      </c>
      <c r="AD16" s="156">
        <v>2.4447557282253229</v>
      </c>
      <c r="AE16" s="156">
        <v>6.6413725659005207</v>
      </c>
      <c r="AF16" s="156">
        <v>14.713150486264629</v>
      </c>
      <c r="AG16" s="156">
        <v>15.373099192907073</v>
      </c>
      <c r="AH16" s="156">
        <v>2.7675963318326282</v>
      </c>
      <c r="AI16" s="154">
        <v>0</v>
      </c>
      <c r="AJ16" s="156">
        <v>1.2671514590088002</v>
      </c>
      <c r="AK16" s="156">
        <v>0</v>
      </c>
      <c r="AL16" s="156">
        <v>0</v>
      </c>
      <c r="AM16" s="156">
        <v>0.41077350625289483</v>
      </c>
      <c r="AN16" s="156">
        <v>0.71580361278369597</v>
      </c>
      <c r="AO16" s="156">
        <v>0.18680425410624577</v>
      </c>
      <c r="AP16" s="156">
        <v>0.56612320518758685</v>
      </c>
      <c r="AQ16" s="156">
        <v>9.826771653543305E-2</v>
      </c>
      <c r="AR16" s="156">
        <v>0.50289949050486327</v>
      </c>
      <c r="AS16" s="156">
        <v>0.26084298286243629</v>
      </c>
      <c r="AT16" s="156">
        <v>0</v>
      </c>
      <c r="AU16" s="156">
        <v>0</v>
      </c>
      <c r="AV16" s="156">
        <v>0</v>
      </c>
      <c r="AW16" s="156">
        <v>0</v>
      </c>
      <c r="AX16" s="156">
        <v>0</v>
      </c>
      <c r="AY16" s="156">
        <v>0</v>
      </c>
      <c r="AZ16" s="157">
        <v>3.5523390458545618</v>
      </c>
      <c r="BA16" s="156">
        <v>0</v>
      </c>
      <c r="BB16" s="156">
        <v>0</v>
      </c>
      <c r="BC16" s="156">
        <v>0</v>
      </c>
      <c r="BD16" s="156">
        <v>0</v>
      </c>
      <c r="BE16" s="156">
        <v>0.42377952755905512</v>
      </c>
      <c r="BF16" s="156">
        <v>0</v>
      </c>
      <c r="BG16" s="156">
        <v>0</v>
      </c>
      <c r="BH16" s="156">
        <v>0</v>
      </c>
      <c r="BI16" s="156">
        <v>0</v>
      </c>
      <c r="BJ16" s="156">
        <v>0</v>
      </c>
      <c r="BK16" s="156">
        <v>0</v>
      </c>
    </row>
    <row r="17" spans="1:63" s="25" customFormat="1" x14ac:dyDescent="0.3">
      <c r="A17" s="480">
        <v>2017</v>
      </c>
      <c r="B17" s="172" t="s">
        <v>1655</v>
      </c>
      <c r="C17" s="481">
        <v>42907</v>
      </c>
      <c r="D17" s="481" t="s">
        <v>14</v>
      </c>
      <c r="E17" s="481" t="s">
        <v>165</v>
      </c>
      <c r="F17" s="482" t="s">
        <v>737</v>
      </c>
      <c r="G17" s="482"/>
      <c r="H17" s="481" t="s">
        <v>46</v>
      </c>
      <c r="I17" s="483">
        <v>23.6</v>
      </c>
      <c r="J17" s="484">
        <v>1.55</v>
      </c>
      <c r="K17" s="484"/>
      <c r="L17" s="484"/>
      <c r="M17" s="485">
        <v>7.5999999999999998E-2</v>
      </c>
      <c r="N17" s="486">
        <v>2.5000000000000001E-2</v>
      </c>
      <c r="O17" s="486">
        <v>0.246</v>
      </c>
      <c r="P17" s="487">
        <v>0.64994494570435468</v>
      </c>
      <c r="Q17" s="483">
        <v>0.42728123227814618</v>
      </c>
      <c r="R17" s="483">
        <v>1.3433886065849485</v>
      </c>
      <c r="S17" s="483">
        <v>2.0941098541693965</v>
      </c>
      <c r="T17" s="483">
        <v>2.945773609423938</v>
      </c>
      <c r="U17" s="483">
        <v>8.6103117631724082</v>
      </c>
      <c r="V17" s="483">
        <v>1.3947316003272929</v>
      </c>
      <c r="W17" s="483">
        <v>8.5336047013745215</v>
      </c>
      <c r="X17" s="483">
        <v>6.2305085847149417</v>
      </c>
      <c r="Y17" s="483">
        <v>1.9702757549353918</v>
      </c>
      <c r="Z17" s="483">
        <v>2.9502292749451895</v>
      </c>
      <c r="AA17" s="483">
        <v>10.403681831804548</v>
      </c>
      <c r="AB17" s="483">
        <v>10.473443800571049</v>
      </c>
      <c r="AC17" s="488">
        <v>18.403302261291223</v>
      </c>
      <c r="AD17" s="483">
        <v>0.8850645854118071</v>
      </c>
      <c r="AE17" s="483">
        <v>2.3056220384989472</v>
      </c>
      <c r="AF17" s="483">
        <v>5.8671490185106112</v>
      </c>
      <c r="AG17" s="483">
        <v>6.4656372253584724</v>
      </c>
      <c r="AH17" s="483">
        <v>1.1996002991102495</v>
      </c>
      <c r="AI17" s="487">
        <v>0</v>
      </c>
      <c r="AJ17" s="483">
        <v>0</v>
      </c>
      <c r="AK17" s="483">
        <v>0</v>
      </c>
      <c r="AL17" s="483">
        <v>0</v>
      </c>
      <c r="AM17" s="483">
        <v>0.57278801892195752</v>
      </c>
      <c r="AN17" s="483">
        <v>1.2445599372096476</v>
      </c>
      <c r="AO17" s="483">
        <v>0.23437788108669083</v>
      </c>
      <c r="AP17" s="483">
        <v>0.54071402812838087</v>
      </c>
      <c r="AQ17" s="483">
        <v>0.11412995057381051</v>
      </c>
      <c r="AR17" s="483">
        <v>0</v>
      </c>
      <c r="AS17" s="483">
        <v>0.63925245539975817</v>
      </c>
      <c r="AT17" s="483">
        <v>0</v>
      </c>
      <c r="AU17" s="483">
        <v>0</v>
      </c>
      <c r="AV17" s="483">
        <v>0</v>
      </c>
      <c r="AW17" s="483">
        <v>0</v>
      </c>
      <c r="AX17" s="483">
        <v>0</v>
      </c>
      <c r="AY17" s="483">
        <v>0</v>
      </c>
      <c r="AZ17" s="489">
        <v>18.167281135317452</v>
      </c>
      <c r="BA17" s="483">
        <v>0</v>
      </c>
      <c r="BB17" s="483">
        <v>0</v>
      </c>
      <c r="BC17" s="483">
        <v>0</v>
      </c>
      <c r="BD17" s="483">
        <v>0</v>
      </c>
      <c r="BE17" s="483">
        <v>2.6445005409304003</v>
      </c>
      <c r="BF17" s="483">
        <v>0.10236948728283236</v>
      </c>
      <c r="BG17" s="483">
        <v>0</v>
      </c>
      <c r="BH17" s="483">
        <v>0</v>
      </c>
      <c r="BI17" s="483">
        <v>0</v>
      </c>
      <c r="BJ17" s="483">
        <v>0</v>
      </c>
      <c r="BK17" s="483">
        <v>0</v>
      </c>
    </row>
    <row r="18" spans="1:63" s="502" customFormat="1" x14ac:dyDescent="0.3">
      <c r="A18" s="491">
        <v>2017</v>
      </c>
      <c r="B18" s="491" t="s">
        <v>1656</v>
      </c>
      <c r="C18" s="492">
        <v>43018</v>
      </c>
      <c r="D18" s="492" t="s">
        <v>15</v>
      </c>
      <c r="E18" s="492" t="s">
        <v>169</v>
      </c>
      <c r="F18" s="493" t="s">
        <v>717</v>
      </c>
      <c r="G18" s="493"/>
      <c r="H18" s="492" t="s">
        <v>68</v>
      </c>
      <c r="I18" s="494">
        <v>19.600000000000001</v>
      </c>
      <c r="J18" s="495">
        <v>3.79</v>
      </c>
      <c r="K18" s="495">
        <v>-16.798500000000001</v>
      </c>
      <c r="L18" s="495">
        <v>13.765000000000002</v>
      </c>
      <c r="M18" s="496">
        <v>1.2E-2</v>
      </c>
      <c r="N18" s="497">
        <v>1.2E-2</v>
      </c>
      <c r="O18" s="498"/>
      <c r="P18" s="499">
        <v>1.7</v>
      </c>
      <c r="Q18" s="494">
        <v>1.27</v>
      </c>
      <c r="R18" s="494">
        <v>2.36</v>
      </c>
      <c r="S18" s="494">
        <v>3.42</v>
      </c>
      <c r="T18" s="494">
        <v>5.0573779397688945</v>
      </c>
      <c r="U18" s="494">
        <v>2.515055824225624</v>
      </c>
      <c r="V18" s="494">
        <v>0.85</v>
      </c>
      <c r="W18" s="494">
        <v>1.8874199544824295</v>
      </c>
      <c r="X18" s="494">
        <v>6.2524851231819483</v>
      </c>
      <c r="Y18" s="494">
        <v>0.40867867068369657</v>
      </c>
      <c r="Z18" s="494">
        <v>0.52234994871345264</v>
      </c>
      <c r="AA18" s="494">
        <v>14.68</v>
      </c>
      <c r="AB18" s="494">
        <v>2.3559161205910639</v>
      </c>
      <c r="AC18" s="500">
        <v>10.821763881655126</v>
      </c>
      <c r="AD18" s="494">
        <v>2.4521634785771718</v>
      </c>
      <c r="AE18" s="494">
        <v>2.84</v>
      </c>
      <c r="AF18" s="494">
        <v>3.26</v>
      </c>
      <c r="AG18" s="494">
        <v>2.21</v>
      </c>
      <c r="AH18" s="494">
        <v>0.77</v>
      </c>
      <c r="AI18" s="499">
        <v>0</v>
      </c>
      <c r="AJ18" s="494">
        <v>0</v>
      </c>
      <c r="AK18" s="494">
        <v>0</v>
      </c>
      <c r="AL18" s="494">
        <v>0</v>
      </c>
      <c r="AM18" s="494">
        <v>0.63645384016295237</v>
      </c>
      <c r="AN18" s="494">
        <v>1.1036301733130351</v>
      </c>
      <c r="AO18" s="494">
        <v>0.50037817517373595</v>
      </c>
      <c r="AP18" s="494">
        <v>1.4665783009825069</v>
      </c>
      <c r="AQ18" s="494">
        <v>0.60509525521207774</v>
      </c>
      <c r="AR18" s="494">
        <v>1.7277325964533912</v>
      </c>
      <c r="AS18" s="494">
        <v>7.7686115927319896</v>
      </c>
      <c r="AT18" s="494">
        <v>0</v>
      </c>
      <c r="AU18" s="494">
        <v>0.60685133596932672</v>
      </c>
      <c r="AV18" s="494">
        <v>1.756833363287803</v>
      </c>
      <c r="AW18" s="494">
        <v>0</v>
      </c>
      <c r="AX18" s="494">
        <v>0</v>
      </c>
      <c r="AY18" s="494">
        <v>0</v>
      </c>
      <c r="AZ18" s="501">
        <v>7.8616630368898095</v>
      </c>
      <c r="BA18" s="494">
        <v>0.96438272649102785</v>
      </c>
      <c r="BB18" s="494">
        <v>0</v>
      </c>
      <c r="BC18" s="494">
        <v>0</v>
      </c>
      <c r="BD18" s="494">
        <v>0</v>
      </c>
      <c r="BE18" s="494">
        <v>2.2515463994728018</v>
      </c>
      <c r="BF18" s="494">
        <v>0.10586658279415291</v>
      </c>
      <c r="BG18" s="494">
        <v>0</v>
      </c>
      <c r="BH18" s="494">
        <v>0</v>
      </c>
      <c r="BI18" s="494">
        <v>0</v>
      </c>
      <c r="BJ18" s="494">
        <v>0</v>
      </c>
      <c r="BK18" s="494">
        <v>0</v>
      </c>
    </row>
    <row r="19" spans="1:63" x14ac:dyDescent="0.3">
      <c r="A19" s="172">
        <v>2017</v>
      </c>
      <c r="B19" s="491" t="s">
        <v>1656</v>
      </c>
      <c r="C19" s="173">
        <v>43024</v>
      </c>
      <c r="D19" s="173" t="s">
        <v>3</v>
      </c>
      <c r="E19" s="173" t="s">
        <v>168</v>
      </c>
      <c r="F19" s="174" t="s">
        <v>867</v>
      </c>
      <c r="G19" s="174" t="s">
        <v>981</v>
      </c>
      <c r="H19" s="173" t="s">
        <v>62</v>
      </c>
      <c r="I19" s="156">
        <v>9.8000000000000007</v>
      </c>
      <c r="J19" s="175">
        <v>2.3159999999999998</v>
      </c>
      <c r="K19" s="175"/>
      <c r="L19" s="175"/>
      <c r="M19" s="167">
        <v>7.1176786123664142</v>
      </c>
      <c r="N19" s="165">
        <v>2.8767088076857248</v>
      </c>
      <c r="O19" s="165">
        <v>29.74</v>
      </c>
      <c r="P19" s="154">
        <v>1.4552326937724185</v>
      </c>
      <c r="Q19" s="156">
        <v>0.75749950680852418</v>
      </c>
      <c r="R19" s="156">
        <v>2.8037220343645495</v>
      </c>
      <c r="S19" s="156">
        <v>4.158477140200123</v>
      </c>
      <c r="T19" s="156">
        <v>6.6500809070240008</v>
      </c>
      <c r="U19" s="156">
        <v>17.973369338990217</v>
      </c>
      <c r="V19" s="156">
        <v>3.0143168103442703</v>
      </c>
      <c r="W19" s="156">
        <v>12.905318933647264</v>
      </c>
      <c r="X19" s="156">
        <v>14.916007855614108</v>
      </c>
      <c r="Y19" s="156">
        <v>5.0202662897086014</v>
      </c>
      <c r="Z19" s="156">
        <v>5.4394748673663411</v>
      </c>
      <c r="AA19" s="156">
        <v>33.343237208066782</v>
      </c>
      <c r="AB19" s="156">
        <v>24.652008128763956</v>
      </c>
      <c r="AC19" s="160">
        <v>63.812440462815687</v>
      </c>
      <c r="AD19" s="156">
        <v>1.6394594874576285</v>
      </c>
      <c r="AE19" s="156">
        <v>7.3710810035613026</v>
      </c>
      <c r="AF19" s="156">
        <v>16.320954779559404</v>
      </c>
      <c r="AG19" s="156">
        <v>22.440386484100756</v>
      </c>
      <c r="AH19" s="156">
        <v>2.876009936929945</v>
      </c>
      <c r="AI19" s="154">
        <v>0</v>
      </c>
      <c r="AJ19" s="156">
        <v>0</v>
      </c>
      <c r="AK19" s="156">
        <v>0</v>
      </c>
      <c r="AL19" s="156">
        <v>0</v>
      </c>
      <c r="AM19" s="156">
        <v>0.28343834797406064</v>
      </c>
      <c r="AN19" s="156">
        <v>0</v>
      </c>
      <c r="AO19" s="156">
        <v>0.35696563703968387</v>
      </c>
      <c r="AP19" s="156">
        <v>0.72427907832405825</v>
      </c>
      <c r="AQ19" s="156">
        <v>0</v>
      </c>
      <c r="AR19" s="156">
        <v>1.2170169709791658</v>
      </c>
      <c r="AS19" s="156">
        <v>0</v>
      </c>
      <c r="AT19" s="156">
        <v>0</v>
      </c>
      <c r="AU19" s="156">
        <v>0</v>
      </c>
      <c r="AV19" s="156">
        <v>0</v>
      </c>
      <c r="AW19" s="156">
        <v>0</v>
      </c>
      <c r="AX19" s="156">
        <v>0</v>
      </c>
      <c r="AY19" s="156">
        <v>0</v>
      </c>
      <c r="AZ19" s="157">
        <v>2.0074690705054499</v>
      </c>
      <c r="BA19" s="156">
        <v>0</v>
      </c>
      <c r="BB19" s="156">
        <v>0</v>
      </c>
      <c r="BC19" s="156">
        <v>0</v>
      </c>
      <c r="BD19" s="156">
        <v>0</v>
      </c>
      <c r="BE19" s="156">
        <v>0.2135767833325668</v>
      </c>
      <c r="BF19" s="156">
        <v>3.0796118290944214E-2</v>
      </c>
      <c r="BG19" s="156">
        <v>0</v>
      </c>
      <c r="BH19" s="156">
        <v>0</v>
      </c>
      <c r="BI19" s="156">
        <v>0</v>
      </c>
      <c r="BJ19" s="156">
        <v>0</v>
      </c>
      <c r="BK19" s="156">
        <v>0</v>
      </c>
    </row>
    <row r="20" spans="1:63" x14ac:dyDescent="0.3">
      <c r="A20" s="172">
        <v>2017</v>
      </c>
      <c r="B20" s="491" t="s">
        <v>1656</v>
      </c>
      <c r="C20" s="173">
        <v>43025</v>
      </c>
      <c r="D20" s="173" t="s">
        <v>3</v>
      </c>
      <c r="E20" s="173" t="s">
        <v>143</v>
      </c>
      <c r="F20" s="174" t="s">
        <v>737</v>
      </c>
      <c r="G20" s="174"/>
      <c r="H20" s="173" t="s">
        <v>65</v>
      </c>
      <c r="I20" s="156">
        <v>21.5</v>
      </c>
      <c r="J20" s="175"/>
      <c r="K20" s="175"/>
      <c r="L20" s="175"/>
      <c r="M20" s="155"/>
      <c r="N20" s="175"/>
      <c r="O20" s="175"/>
      <c r="P20" s="154"/>
      <c r="Q20" s="15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60"/>
      <c r="AD20" s="156"/>
      <c r="AE20" s="156"/>
      <c r="AF20" s="156"/>
      <c r="AG20" s="156"/>
      <c r="AH20" s="156"/>
      <c r="AI20" s="154">
        <v>10.251521896227779</v>
      </c>
      <c r="AJ20" s="156">
        <v>0</v>
      </c>
      <c r="AK20" s="156">
        <v>0</v>
      </c>
      <c r="AL20" s="156">
        <v>0</v>
      </c>
      <c r="AM20" s="156">
        <v>0.71713831478537371</v>
      </c>
      <c r="AN20" s="156">
        <v>1.7495707472178061</v>
      </c>
      <c r="AO20" s="156">
        <v>0.42470605705899828</v>
      </c>
      <c r="AP20" s="156">
        <v>0.95395866454689993</v>
      </c>
      <c r="AQ20" s="156">
        <v>0</v>
      </c>
      <c r="AR20" s="156">
        <v>0</v>
      </c>
      <c r="AS20" s="156">
        <v>0.99287758346581867</v>
      </c>
      <c r="AT20" s="156">
        <v>0</v>
      </c>
      <c r="AU20" s="156">
        <v>0</v>
      </c>
      <c r="AV20" s="156">
        <v>0.65437201907790143</v>
      </c>
      <c r="AW20" s="156">
        <v>0</v>
      </c>
      <c r="AX20" s="156">
        <v>0</v>
      </c>
      <c r="AY20" s="156">
        <v>0</v>
      </c>
      <c r="AZ20" s="157">
        <v>21.151614808085395</v>
      </c>
      <c r="BA20" s="156">
        <v>0.80915285032932105</v>
      </c>
      <c r="BB20" s="156">
        <v>0</v>
      </c>
      <c r="BC20" s="156">
        <v>0</v>
      </c>
      <c r="BD20" s="156">
        <v>0</v>
      </c>
      <c r="BE20" s="156">
        <v>7.2025437201907803</v>
      </c>
      <c r="BF20" s="156">
        <v>0.64413354531001588</v>
      </c>
      <c r="BG20" s="156">
        <v>1.2726868044515105</v>
      </c>
      <c r="BH20" s="156">
        <v>0</v>
      </c>
      <c r="BI20" s="156">
        <v>0</v>
      </c>
      <c r="BJ20" s="156">
        <v>0</v>
      </c>
      <c r="BK20" s="156">
        <v>0</v>
      </c>
    </row>
    <row r="21" spans="1:63" x14ac:dyDescent="0.3">
      <c r="A21" s="172">
        <v>2017</v>
      </c>
      <c r="B21" s="491" t="s">
        <v>1656</v>
      </c>
      <c r="C21" s="173">
        <v>43024</v>
      </c>
      <c r="D21" s="173" t="s">
        <v>3</v>
      </c>
      <c r="E21" s="173" t="s">
        <v>172</v>
      </c>
      <c r="F21" s="174" t="s">
        <v>988</v>
      </c>
      <c r="G21" s="174"/>
      <c r="H21" s="173" t="s">
        <v>66</v>
      </c>
      <c r="I21" s="156">
        <v>13.2</v>
      </c>
      <c r="J21" s="175">
        <v>1.4810000000000001</v>
      </c>
      <c r="K21" s="175"/>
      <c r="L21" s="175"/>
      <c r="M21" s="179">
        <v>0.02</v>
      </c>
      <c r="N21" s="33">
        <v>8.9999999999999993E-3</v>
      </c>
      <c r="O21" s="33">
        <v>2.5999999999999999E-2</v>
      </c>
      <c r="P21" s="154">
        <v>1.5231803831885107</v>
      </c>
      <c r="Q21" s="156">
        <v>0.52440644231114542</v>
      </c>
      <c r="R21" s="156">
        <v>2.7494458492098608</v>
      </c>
      <c r="S21" s="156">
        <v>3.3933340108131453</v>
      </c>
      <c r="T21" s="156">
        <v>6.4523525097888577</v>
      </c>
      <c r="U21" s="156">
        <v>16.223706275128951</v>
      </c>
      <c r="V21" s="156">
        <v>3.8305120634314878</v>
      </c>
      <c r="W21" s="156">
        <v>14.288004487246134</v>
      </c>
      <c r="X21" s="156">
        <v>16.357544297519553</v>
      </c>
      <c r="Y21" s="156">
        <v>4.7541144053554598</v>
      </c>
      <c r="Z21" s="156">
        <v>5.7632906598015516</v>
      </c>
      <c r="AA21" s="156">
        <v>31.206364544753121</v>
      </c>
      <c r="AB21" s="156">
        <v>24.796543506504925</v>
      </c>
      <c r="AC21" s="160">
        <v>58.029047102602753</v>
      </c>
      <c r="AD21" s="156">
        <v>1.5518243842474857</v>
      </c>
      <c r="AE21" s="156">
        <v>5.6730485216964901</v>
      </c>
      <c r="AF21" s="156">
        <v>11.743309348543034</v>
      </c>
      <c r="AG21" s="156">
        <v>12.19282957311092</v>
      </c>
      <c r="AH21" s="156">
        <v>1.7764134596971708</v>
      </c>
      <c r="AI21" s="154">
        <v>1.5972749366675891</v>
      </c>
      <c r="AJ21" s="156">
        <v>0</v>
      </c>
      <c r="AK21" s="156">
        <v>0</v>
      </c>
      <c r="AL21" s="156">
        <v>2.9365955155719448</v>
      </c>
      <c r="AM21" s="156">
        <v>2.8428965810150775</v>
      </c>
      <c r="AN21" s="156">
        <v>6.3550364550152194</v>
      </c>
      <c r="AO21" s="156">
        <v>1.6657135908144618</v>
      </c>
      <c r="AP21" s="156">
        <v>1.2925037162879596</v>
      </c>
      <c r="AQ21" s="156">
        <v>0.18194945848375457</v>
      </c>
      <c r="AR21" s="156">
        <v>0</v>
      </c>
      <c r="AS21" s="156">
        <v>0.59879663056558374</v>
      </c>
      <c r="AT21" s="156">
        <v>0</v>
      </c>
      <c r="AU21" s="156">
        <v>0</v>
      </c>
      <c r="AV21" s="156">
        <v>0.67224463792737321</v>
      </c>
      <c r="AW21" s="156">
        <v>0</v>
      </c>
      <c r="AX21" s="156">
        <v>0</v>
      </c>
      <c r="AY21" s="156">
        <v>0</v>
      </c>
      <c r="AZ21" s="157">
        <v>21.474792949670846</v>
      </c>
      <c r="BA21" s="156">
        <v>1.9696043038153894</v>
      </c>
      <c r="BB21" s="156">
        <v>0</v>
      </c>
      <c r="BC21" s="156">
        <v>0</v>
      </c>
      <c r="BD21" s="156">
        <v>0</v>
      </c>
      <c r="BE21" s="156">
        <v>4.551794436186027</v>
      </c>
      <c r="BF21" s="156">
        <v>1.7004884264174986</v>
      </c>
      <c r="BG21" s="156">
        <v>0.43448715226162676</v>
      </c>
      <c r="BH21" s="156">
        <v>0</v>
      </c>
      <c r="BI21" s="156">
        <v>0</v>
      </c>
      <c r="BJ21" s="156">
        <v>0</v>
      </c>
      <c r="BK21" s="156">
        <v>0</v>
      </c>
    </row>
    <row r="22" spans="1:63" x14ac:dyDescent="0.3">
      <c r="A22" s="172">
        <v>2017</v>
      </c>
      <c r="B22" s="491" t="s">
        <v>1656</v>
      </c>
      <c r="C22" s="173">
        <v>43025</v>
      </c>
      <c r="D22" s="173" t="s">
        <v>3</v>
      </c>
      <c r="E22" s="173" t="s">
        <v>172</v>
      </c>
      <c r="F22" s="174" t="s">
        <v>849</v>
      </c>
      <c r="G22" s="174"/>
      <c r="H22" s="173" t="s">
        <v>67</v>
      </c>
      <c r="I22" s="156">
        <v>18.600000000000001</v>
      </c>
      <c r="J22" s="175">
        <v>1.2789999999999999</v>
      </c>
      <c r="K22" s="175"/>
      <c r="L22" s="175"/>
      <c r="M22" s="167">
        <v>0.26300000000000001</v>
      </c>
      <c r="N22" s="165">
        <v>8.2000000000000003E-2</v>
      </c>
      <c r="O22" s="165">
        <v>0.78700000000000003</v>
      </c>
      <c r="P22" s="154">
        <v>1.1894773485482328</v>
      </c>
      <c r="Q22" s="156">
        <v>0.47370227451324026</v>
      </c>
      <c r="R22" s="156">
        <v>3.3776457861732387</v>
      </c>
      <c r="S22" s="156">
        <v>5.7724773688099713</v>
      </c>
      <c r="T22" s="156">
        <v>7.9984326088003925</v>
      </c>
      <c r="U22" s="156">
        <v>17.239132557511429</v>
      </c>
      <c r="V22" s="156">
        <v>2.2783571855191505</v>
      </c>
      <c r="W22" s="156">
        <v>10.715742907472499</v>
      </c>
      <c r="X22" s="156">
        <v>11.053103114870918</v>
      </c>
      <c r="Y22" s="156">
        <v>5.291507457983597</v>
      </c>
      <c r="Z22" s="156">
        <v>4.9693151078126352</v>
      </c>
      <c r="AA22" s="156">
        <v>26.180858653518655</v>
      </c>
      <c r="AB22" s="156">
        <v>18.139676165386106</v>
      </c>
      <c r="AC22" s="160">
        <v>42.927342882047604</v>
      </c>
      <c r="AD22" s="156">
        <v>0.85737723785274567</v>
      </c>
      <c r="AE22" s="156">
        <v>6.0794648465070154</v>
      </c>
      <c r="AF22" s="156">
        <v>11.678045366416789</v>
      </c>
      <c r="AG22" s="156">
        <v>7.3045602529785398</v>
      </c>
      <c r="AH22" s="156">
        <v>2.9085108401998587</v>
      </c>
      <c r="AI22" s="154">
        <v>0</v>
      </c>
      <c r="AJ22" s="156">
        <v>1.8823144062734822</v>
      </c>
      <c r="AK22" s="156">
        <v>0</v>
      </c>
      <c r="AL22" s="156">
        <v>0</v>
      </c>
      <c r="AM22" s="156">
        <v>0</v>
      </c>
      <c r="AN22" s="156">
        <v>0</v>
      </c>
      <c r="AO22" s="156">
        <v>0</v>
      </c>
      <c r="AP22" s="156">
        <v>0.44097030885724747</v>
      </c>
      <c r="AQ22" s="156">
        <v>9.9458584613013226E-2</v>
      </c>
      <c r="AR22" s="156">
        <v>0.64860407313924584</v>
      </c>
      <c r="AS22" s="156">
        <v>1.3246989460704031</v>
      </c>
      <c r="AT22" s="156">
        <v>0</v>
      </c>
      <c r="AU22" s="156">
        <v>0.15846322806882332</v>
      </c>
      <c r="AV22" s="156">
        <v>0.27826053447910443</v>
      </c>
      <c r="AW22" s="156">
        <v>0</v>
      </c>
      <c r="AX22" s="156">
        <v>0</v>
      </c>
      <c r="AY22" s="156">
        <v>0</v>
      </c>
      <c r="AZ22" s="157">
        <v>1.6058650122348317</v>
      </c>
      <c r="BA22" s="156">
        <v>0</v>
      </c>
      <c r="BB22" s="156">
        <v>0</v>
      </c>
      <c r="BC22" s="156">
        <v>0</v>
      </c>
      <c r="BD22" s="156">
        <v>0</v>
      </c>
      <c r="BE22" s="156">
        <v>0.32363152925762512</v>
      </c>
      <c r="BF22" s="156">
        <v>0.17991946205275428</v>
      </c>
      <c r="BG22" s="156">
        <v>0.25546328587117778</v>
      </c>
      <c r="BH22" s="156">
        <v>0</v>
      </c>
      <c r="BI22" s="156">
        <v>0</v>
      </c>
      <c r="BJ22" s="156">
        <v>0</v>
      </c>
      <c r="BK22" s="156">
        <v>0</v>
      </c>
    </row>
    <row r="23" spans="1:63" x14ac:dyDescent="0.3">
      <c r="A23" s="172">
        <v>2017</v>
      </c>
      <c r="B23" s="491" t="s">
        <v>1656</v>
      </c>
      <c r="C23" s="173">
        <v>43024</v>
      </c>
      <c r="D23" s="173" t="s">
        <v>3</v>
      </c>
      <c r="E23" s="173" t="s">
        <v>168</v>
      </c>
      <c r="F23" s="174" t="s">
        <v>737</v>
      </c>
      <c r="G23" s="174" t="s">
        <v>980</v>
      </c>
      <c r="H23" s="173" t="s">
        <v>64</v>
      </c>
      <c r="I23" s="156">
        <v>30.5</v>
      </c>
      <c r="J23" s="175">
        <v>1.024</v>
      </c>
      <c r="K23" s="175"/>
      <c r="L23" s="175"/>
      <c r="M23" s="167">
        <v>0.13500000000000001</v>
      </c>
      <c r="N23" s="165">
        <v>3.2812316440579713E-2</v>
      </c>
      <c r="O23" s="165">
        <v>0.23899999999999999</v>
      </c>
      <c r="P23" s="154">
        <v>0.91797520775769725</v>
      </c>
      <c r="Q23" s="156">
        <v>0.4815217209922516</v>
      </c>
      <c r="R23" s="156">
        <v>1.3667322976063616</v>
      </c>
      <c r="S23" s="156">
        <v>1.8798960497013801</v>
      </c>
      <c r="T23" s="156">
        <v>2.6217554559529201</v>
      </c>
      <c r="U23" s="156">
        <v>7.651160117200936</v>
      </c>
      <c r="V23" s="156">
        <v>1.3165448542119824</v>
      </c>
      <c r="W23" s="156">
        <v>8.7461455291822165</v>
      </c>
      <c r="X23" s="156">
        <v>6.2657227395826176</v>
      </c>
      <c r="Y23" s="156">
        <v>2.1207671657993377</v>
      </c>
      <c r="Z23" s="156">
        <v>2.9415140742600707</v>
      </c>
      <c r="AA23" s="156">
        <v>12.144879642874189</v>
      </c>
      <c r="AB23" s="156">
        <v>10.350487840901071</v>
      </c>
      <c r="AC23" s="160">
        <v>20.561463145925458</v>
      </c>
      <c r="AD23" s="156">
        <v>1.0121433614792175</v>
      </c>
      <c r="AE23" s="156">
        <v>2.9075564223308508</v>
      </c>
      <c r="AF23" s="156">
        <v>7.0872416335361699</v>
      </c>
      <c r="AG23" s="156">
        <v>6.6649805114769514</v>
      </c>
      <c r="AH23" s="156">
        <v>1.4933982275062478</v>
      </c>
      <c r="AI23" s="154">
        <v>0</v>
      </c>
      <c r="AJ23" s="156">
        <v>0</v>
      </c>
      <c r="AK23" s="156">
        <v>0</v>
      </c>
      <c r="AL23" s="156">
        <v>0</v>
      </c>
      <c r="AM23" s="156">
        <v>0.44982346018046293</v>
      </c>
      <c r="AN23" s="156">
        <v>0.83315717813213952</v>
      </c>
      <c r="AO23" s="156">
        <v>0.20292635387136115</v>
      </c>
      <c r="AP23" s="156">
        <v>0</v>
      </c>
      <c r="AQ23" s="156">
        <v>0</v>
      </c>
      <c r="AR23" s="156">
        <v>0</v>
      </c>
      <c r="AS23" s="156">
        <v>0.25287425287886833</v>
      </c>
      <c r="AT23" s="156">
        <v>0</v>
      </c>
      <c r="AU23" s="156">
        <v>0</v>
      </c>
      <c r="AV23" s="156">
        <v>0</v>
      </c>
      <c r="AW23" s="156">
        <v>0</v>
      </c>
      <c r="AX23" s="156">
        <v>0</v>
      </c>
      <c r="AY23" s="156">
        <v>0</v>
      </c>
      <c r="AZ23" s="157">
        <v>7.601970784390649</v>
      </c>
      <c r="BA23" s="156">
        <v>0</v>
      </c>
      <c r="BB23" s="156">
        <v>0</v>
      </c>
      <c r="BC23" s="156">
        <v>0</v>
      </c>
      <c r="BD23" s="156">
        <v>0</v>
      </c>
      <c r="BE23" s="156">
        <v>2.2171324394803036</v>
      </c>
      <c r="BF23" s="156">
        <v>0.10235155655043501</v>
      </c>
      <c r="BG23" s="156">
        <v>0</v>
      </c>
      <c r="BH23" s="156">
        <v>0</v>
      </c>
      <c r="BI23" s="156">
        <v>0</v>
      </c>
      <c r="BJ23" s="156">
        <v>0</v>
      </c>
      <c r="BK23" s="156">
        <v>0</v>
      </c>
    </row>
    <row r="24" spans="1:63" x14ac:dyDescent="0.3">
      <c r="A24" s="172">
        <v>2017</v>
      </c>
      <c r="B24" s="491" t="s">
        <v>1656</v>
      </c>
      <c r="C24" s="173">
        <v>43024</v>
      </c>
      <c r="D24" s="173" t="s">
        <v>3</v>
      </c>
      <c r="E24" s="173" t="s">
        <v>171</v>
      </c>
      <c r="F24" s="174" t="s">
        <v>659</v>
      </c>
      <c r="G24" s="174" t="s">
        <v>981</v>
      </c>
      <c r="H24" s="173" t="s">
        <v>61</v>
      </c>
      <c r="I24" s="156">
        <v>12.3</v>
      </c>
      <c r="J24" s="175">
        <v>1.714</v>
      </c>
      <c r="K24" s="175"/>
      <c r="L24" s="175"/>
      <c r="M24" s="180">
        <v>1.7290000000000001</v>
      </c>
      <c r="N24" s="166">
        <v>0.74603536868998865</v>
      </c>
      <c r="O24" s="166">
        <v>7.49</v>
      </c>
      <c r="P24" s="154">
        <v>1.7326085468699286</v>
      </c>
      <c r="Q24" s="156">
        <v>1.0523399044274275</v>
      </c>
      <c r="R24" s="156">
        <v>2.7205987674857104</v>
      </c>
      <c r="S24" s="156">
        <v>3.9512263236172696</v>
      </c>
      <c r="T24" s="156">
        <v>5.6472572132288601</v>
      </c>
      <c r="U24" s="156">
        <v>13.719768329533963</v>
      </c>
      <c r="V24" s="156">
        <v>3.0014902806788584</v>
      </c>
      <c r="W24" s="156">
        <v>17.059746535759182</v>
      </c>
      <c r="X24" s="156">
        <v>10.010440906810665</v>
      </c>
      <c r="Y24" s="156">
        <v>3.9990374457191935</v>
      </c>
      <c r="Z24" s="156">
        <v>5.1822839418421172</v>
      </c>
      <c r="AA24" s="156">
        <v>24.682601774965406</v>
      </c>
      <c r="AB24" s="156">
        <v>18.947024247544299</v>
      </c>
      <c r="AC24" s="160">
        <v>43.478056387740551</v>
      </c>
      <c r="AD24" s="156">
        <v>1.7624814005889893</v>
      </c>
      <c r="AE24" s="156">
        <v>5.3947185320429547</v>
      </c>
      <c r="AF24" s="156">
        <v>13.395381369607364</v>
      </c>
      <c r="AG24" s="156">
        <v>13.463024058841022</v>
      </c>
      <c r="AH24" s="156">
        <v>2.6550915121382777</v>
      </c>
      <c r="AI24" s="154">
        <v>0</v>
      </c>
      <c r="AJ24" s="156">
        <v>0</v>
      </c>
      <c r="AK24" s="156">
        <v>0</v>
      </c>
      <c r="AL24" s="156">
        <v>3.2410234729009919</v>
      </c>
      <c r="AM24" s="156">
        <v>0.75167952112351788</v>
      </c>
      <c r="AN24" s="156">
        <v>2.2048946701968464</v>
      </c>
      <c r="AO24" s="156">
        <v>0.99058841239340834</v>
      </c>
      <c r="AP24" s="156">
        <v>1.5424703580062165</v>
      </c>
      <c r="AQ24" s="156">
        <v>0.2963324507885346</v>
      </c>
      <c r="AR24" s="156">
        <v>0</v>
      </c>
      <c r="AS24" s="156">
        <v>0.63651893634166001</v>
      </c>
      <c r="AT24" s="156">
        <v>0</v>
      </c>
      <c r="AU24" s="156">
        <v>0</v>
      </c>
      <c r="AV24" s="156">
        <v>0.21011626568435596</v>
      </c>
      <c r="AW24" s="156">
        <v>0</v>
      </c>
      <c r="AX24" s="156">
        <v>0</v>
      </c>
      <c r="AY24" s="156">
        <v>0</v>
      </c>
      <c r="AZ24" s="157">
        <v>5.4139380683780356</v>
      </c>
      <c r="BA24" s="156">
        <v>0</v>
      </c>
      <c r="BB24" s="156">
        <v>0</v>
      </c>
      <c r="BC24" s="156">
        <v>0</v>
      </c>
      <c r="BD24" s="156">
        <v>0</v>
      </c>
      <c r="BE24" s="156">
        <v>0.76081501093588122</v>
      </c>
      <c r="BF24" s="156">
        <v>0.21868078738344657</v>
      </c>
      <c r="BG24" s="156">
        <v>1.0480119719120524</v>
      </c>
      <c r="BH24" s="156">
        <v>0</v>
      </c>
      <c r="BI24" s="156">
        <v>0</v>
      </c>
      <c r="BJ24" s="156">
        <v>0</v>
      </c>
      <c r="BK24" s="156">
        <v>0</v>
      </c>
    </row>
    <row r="25" spans="1:63" x14ac:dyDescent="0.3">
      <c r="A25" s="172">
        <v>2017</v>
      </c>
      <c r="B25" s="491" t="s">
        <v>1656</v>
      </c>
      <c r="C25" s="173" t="s">
        <v>143</v>
      </c>
      <c r="D25" s="173" t="s">
        <v>3</v>
      </c>
      <c r="E25" s="173" t="s">
        <v>168</v>
      </c>
      <c r="F25" s="174" t="s">
        <v>867</v>
      </c>
      <c r="G25" s="174" t="s">
        <v>980</v>
      </c>
      <c r="H25" s="173" t="s">
        <v>180</v>
      </c>
      <c r="I25" s="156">
        <v>8.1</v>
      </c>
      <c r="J25" s="175">
        <v>1.998</v>
      </c>
      <c r="K25" s="175"/>
      <c r="L25" s="175"/>
      <c r="M25" s="167">
        <v>7.4</v>
      </c>
      <c r="N25" s="165">
        <v>3.097</v>
      </c>
      <c r="O25" s="165">
        <v>43.195</v>
      </c>
      <c r="P25" s="154">
        <v>1.2444551992825372</v>
      </c>
      <c r="Q25" s="156">
        <v>0.54122802481919097</v>
      </c>
      <c r="R25" s="156">
        <v>1.9968513194873123</v>
      </c>
      <c r="S25" s="156">
        <v>3.9086621300185507</v>
      </c>
      <c r="T25" s="156">
        <v>6.0759910415289964</v>
      </c>
      <c r="U25" s="156">
        <v>19.362063198679795</v>
      </c>
      <c r="V25" s="156">
        <v>3.4873312973328274</v>
      </c>
      <c r="W25" s="156">
        <v>14.027469931522567</v>
      </c>
      <c r="X25" s="156">
        <v>17.683296640696696</v>
      </c>
      <c r="Y25" s="156">
        <v>6.297420073616367</v>
      </c>
      <c r="Z25" s="156">
        <v>6.3443784240446588</v>
      </c>
      <c r="AA25" s="156">
        <v>40.130215404356115</v>
      </c>
      <c r="AB25" s="156">
        <v>28.555107845681857</v>
      </c>
      <c r="AC25" s="160">
        <v>76.138589271308916</v>
      </c>
      <c r="AD25" s="156">
        <v>2.3419274466112538</v>
      </c>
      <c r="AE25" s="156">
        <v>10.002713592657095</v>
      </c>
      <c r="AF25" s="156">
        <v>20.164590837005804</v>
      </c>
      <c r="AG25" s="156">
        <v>27.550118615040518</v>
      </c>
      <c r="AH25" s="156">
        <v>3.5610737247534114</v>
      </c>
      <c r="AI25" s="154"/>
      <c r="AJ25" s="156"/>
      <c r="AK25" s="156"/>
      <c r="AL25" s="156"/>
      <c r="AM25" s="156"/>
      <c r="AN25" s="156"/>
      <c r="AO25" s="156"/>
      <c r="AP25" s="156"/>
      <c r="AQ25" s="156"/>
      <c r="AR25" s="156"/>
      <c r="AS25" s="156"/>
      <c r="AT25" s="156"/>
      <c r="AU25" s="156"/>
      <c r="AV25" s="156"/>
      <c r="AW25" s="156"/>
      <c r="AX25" s="156"/>
      <c r="AY25" s="156"/>
      <c r="AZ25" s="157"/>
      <c r="BA25" s="156"/>
      <c r="BB25" s="156"/>
      <c r="BC25" s="156"/>
      <c r="BD25" s="156"/>
      <c r="BE25" s="156"/>
      <c r="BF25" s="156"/>
      <c r="BG25" s="156"/>
      <c r="BH25" s="156"/>
      <c r="BI25" s="156"/>
      <c r="BJ25" s="156"/>
      <c r="BK25" s="156"/>
    </row>
    <row r="26" spans="1:63" x14ac:dyDescent="0.3">
      <c r="A26" s="172">
        <v>2017</v>
      </c>
      <c r="B26" s="491" t="s">
        <v>1656</v>
      </c>
      <c r="C26" s="173" t="s">
        <v>143</v>
      </c>
      <c r="D26" s="173" t="s">
        <v>3</v>
      </c>
      <c r="E26" s="173" t="s">
        <v>168</v>
      </c>
      <c r="F26" s="174" t="s">
        <v>990</v>
      </c>
      <c r="G26" s="174"/>
      <c r="H26" s="173" t="s">
        <v>174</v>
      </c>
      <c r="I26" s="156">
        <v>13.1</v>
      </c>
      <c r="J26" s="175">
        <v>2.665</v>
      </c>
      <c r="K26" s="175"/>
      <c r="L26" s="175"/>
      <c r="M26" s="180">
        <v>0.42699999999999999</v>
      </c>
      <c r="N26" s="166">
        <v>0.13700000000000001</v>
      </c>
      <c r="O26" s="166">
        <v>1.718</v>
      </c>
      <c r="P26" s="154">
        <v>1.1504225383730937</v>
      </c>
      <c r="Q26" s="156">
        <v>0.48142474380026468</v>
      </c>
      <c r="R26" s="156">
        <v>3.85773903486588</v>
      </c>
      <c r="S26" s="156">
        <v>5.3042169593244033</v>
      </c>
      <c r="T26" s="156">
        <v>8.9315316242979765</v>
      </c>
      <c r="U26" s="156">
        <v>28.212309343019527</v>
      </c>
      <c r="V26" s="156">
        <v>4.3477021031761289</v>
      </c>
      <c r="W26" s="156">
        <v>30.094961052968518</v>
      </c>
      <c r="X26" s="156">
        <v>22.496925653317287</v>
      </c>
      <c r="Y26" s="156">
        <v>7.1906742508433563</v>
      </c>
      <c r="Z26" s="156">
        <v>10.744217964465674</v>
      </c>
      <c r="AA26" s="156">
        <v>38.912258558890386</v>
      </c>
      <c r="AB26" s="156">
        <v>40.544878843014899</v>
      </c>
      <c r="AC26" s="160">
        <v>75.7771299889109</v>
      </c>
      <c r="AD26" s="156">
        <v>2.4457810349140234</v>
      </c>
      <c r="AE26" s="156">
        <v>5.679532440181962</v>
      </c>
      <c r="AF26" s="156">
        <v>5.7799335731738095</v>
      </c>
      <c r="AG26" s="156">
        <v>23.7777567667952</v>
      </c>
      <c r="AH26" s="156">
        <v>1.9160946450094782</v>
      </c>
      <c r="AI26" s="154"/>
      <c r="AJ26" s="156"/>
      <c r="AK26" s="156"/>
      <c r="AL26" s="156"/>
      <c r="AM26" s="156"/>
      <c r="AN26" s="15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57"/>
      <c r="BA26" s="156"/>
      <c r="BB26" s="156"/>
      <c r="BC26" s="156"/>
      <c r="BD26" s="156"/>
      <c r="BE26" s="156"/>
      <c r="BF26" s="156"/>
      <c r="BG26" s="156"/>
      <c r="BH26" s="156"/>
      <c r="BI26" s="156"/>
      <c r="BJ26" s="156"/>
      <c r="BK26" s="156"/>
    </row>
    <row r="27" spans="1:63" x14ac:dyDescent="0.3">
      <c r="A27" s="172">
        <v>2017</v>
      </c>
      <c r="B27" s="491" t="s">
        <v>1656</v>
      </c>
      <c r="C27" s="173">
        <v>43024</v>
      </c>
      <c r="D27" s="173" t="s">
        <v>3</v>
      </c>
      <c r="E27" s="173" t="s">
        <v>143</v>
      </c>
      <c r="F27" s="174" t="s">
        <v>867</v>
      </c>
      <c r="G27" s="174" t="s">
        <v>982</v>
      </c>
      <c r="H27" s="173" t="s">
        <v>63</v>
      </c>
      <c r="I27" s="156">
        <v>9.3000000000000007</v>
      </c>
      <c r="J27" s="175">
        <v>2.105</v>
      </c>
      <c r="K27" s="175"/>
      <c r="L27" s="175"/>
      <c r="M27" s="155"/>
      <c r="N27" s="175"/>
      <c r="O27" s="175"/>
      <c r="P27" s="154">
        <v>1.3414031722714685</v>
      </c>
      <c r="Q27" s="156">
        <v>0.36570509605985846</v>
      </c>
      <c r="R27" s="156">
        <v>2.838482349442637</v>
      </c>
      <c r="S27" s="156">
        <v>3.9532454486763613</v>
      </c>
      <c r="T27" s="156">
        <v>6.3822667644096391</v>
      </c>
      <c r="U27" s="156">
        <v>19.547619151315129</v>
      </c>
      <c r="V27" s="156">
        <v>3.4937158628041218</v>
      </c>
      <c r="W27" s="156">
        <v>18.215741624848498</v>
      </c>
      <c r="X27" s="156">
        <v>16.154434308215919</v>
      </c>
      <c r="Y27" s="156">
        <v>6.3355093490257399</v>
      </c>
      <c r="Z27" s="156">
        <v>8.1328649871051404</v>
      </c>
      <c r="AA27" s="156">
        <v>36.895699926740207</v>
      </c>
      <c r="AB27" s="156">
        <v>29.773524919563954</v>
      </c>
      <c r="AC27" s="160">
        <v>64.403352410299107</v>
      </c>
      <c r="AD27" s="156">
        <v>2.1479564322055387</v>
      </c>
      <c r="AE27" s="156">
        <v>9.0345680799714412</v>
      </c>
      <c r="AF27" s="156">
        <v>19.866428767570845</v>
      </c>
      <c r="AG27" s="156">
        <v>22.963663687835613</v>
      </c>
      <c r="AH27" s="156">
        <v>3.7466355681669303</v>
      </c>
      <c r="AI27" s="154">
        <v>0</v>
      </c>
      <c r="AJ27" s="156">
        <v>0</v>
      </c>
      <c r="AK27" s="156">
        <v>0</v>
      </c>
      <c r="AL27" s="156">
        <v>0</v>
      </c>
      <c r="AM27" s="156">
        <v>0.57194570135746603</v>
      </c>
      <c r="AN27" s="156">
        <v>1.200533397261095</v>
      </c>
      <c r="AO27" s="156">
        <v>0.5738337985768388</v>
      </c>
      <c r="AP27" s="156">
        <v>1.357424110754847</v>
      </c>
      <c r="AQ27" s="156">
        <v>0.26798118126517034</v>
      </c>
      <c r="AR27" s="156">
        <v>1.7967996164334303</v>
      </c>
      <c r="AS27" s="156">
        <v>0.32648706961133922</v>
      </c>
      <c r="AT27" s="156">
        <v>0</v>
      </c>
      <c r="AU27" s="156">
        <v>0</v>
      </c>
      <c r="AV27" s="156">
        <v>0.12168050103383177</v>
      </c>
      <c r="AW27" s="156">
        <v>0</v>
      </c>
      <c r="AX27" s="156">
        <v>0</v>
      </c>
      <c r="AY27" s="156">
        <v>0</v>
      </c>
      <c r="AZ27" s="157">
        <v>4.5655808935902424</v>
      </c>
      <c r="BA27" s="156">
        <v>0</v>
      </c>
      <c r="BB27" s="156">
        <v>0</v>
      </c>
      <c r="BC27" s="156">
        <v>0</v>
      </c>
      <c r="BD27" s="156">
        <v>0</v>
      </c>
      <c r="BE27" s="156">
        <v>0.34989062359533724</v>
      </c>
      <c r="BF27" s="156">
        <v>5.6815798148092664E-2</v>
      </c>
      <c r="BG27" s="156">
        <v>0.31153995984537469</v>
      </c>
      <c r="BH27" s="156">
        <v>0</v>
      </c>
      <c r="BI27" s="156">
        <v>0</v>
      </c>
      <c r="BJ27" s="156">
        <v>0</v>
      </c>
      <c r="BK27" s="156">
        <v>0</v>
      </c>
    </row>
    <row r="28" spans="1:63" x14ac:dyDescent="0.3">
      <c r="A28" s="172">
        <v>2017</v>
      </c>
      <c r="B28" s="491" t="s">
        <v>1656</v>
      </c>
      <c r="C28" s="173" t="s">
        <v>143</v>
      </c>
      <c r="D28" s="173" t="s">
        <v>3</v>
      </c>
      <c r="E28" s="173" t="s">
        <v>171</v>
      </c>
      <c r="F28" s="174" t="s">
        <v>712</v>
      </c>
      <c r="G28" s="174"/>
      <c r="H28" s="173" t="s">
        <v>176</v>
      </c>
      <c r="I28" s="156">
        <v>8</v>
      </c>
      <c r="J28" s="175">
        <v>1.125</v>
      </c>
      <c r="K28" s="175"/>
      <c r="L28" s="175"/>
      <c r="M28" s="155"/>
      <c r="N28" s="175"/>
      <c r="O28" s="175"/>
      <c r="P28" s="154">
        <v>0.98286035190470311</v>
      </c>
      <c r="Q28" s="156">
        <v>0.21406140857830452</v>
      </c>
      <c r="R28" s="156">
        <v>2.0257262072703548</v>
      </c>
      <c r="S28" s="156">
        <v>3.1580299188697456</v>
      </c>
      <c r="T28" s="156">
        <v>4.9448971938229445</v>
      </c>
      <c r="U28" s="156">
        <v>12.426873584191672</v>
      </c>
      <c r="V28" s="156">
        <v>2.6092735109206568</v>
      </c>
      <c r="W28" s="156">
        <v>12.712800537492399</v>
      </c>
      <c r="X28" s="156">
        <v>9.3489037199819087</v>
      </c>
      <c r="Y28" s="156">
        <v>4.5173264489092411</v>
      </c>
      <c r="Z28" s="156">
        <v>4.8820477111959919</v>
      </c>
      <c r="AA28" s="156">
        <v>16.129618527954598</v>
      </c>
      <c r="AB28" s="156">
        <v>12.405102516045378</v>
      </c>
      <c r="AC28" s="160">
        <v>26.1293484879026</v>
      </c>
      <c r="AD28" s="156">
        <v>0.4868779865036163</v>
      </c>
      <c r="AE28" s="156">
        <v>1.0321713422389132</v>
      </c>
      <c r="AF28" s="156">
        <v>1.6868816896825751</v>
      </c>
      <c r="AG28" s="156">
        <v>9.3383210034831095</v>
      </c>
      <c r="AH28" s="156">
        <v>0.36813325256330998</v>
      </c>
      <c r="AI28" s="154"/>
      <c r="AJ28" s="156"/>
      <c r="AK28" s="156"/>
      <c r="AL28" s="156"/>
      <c r="AM28" s="156"/>
      <c r="AN28" s="156"/>
      <c r="AO28" s="156"/>
      <c r="AP28" s="156"/>
      <c r="AQ28" s="156"/>
      <c r="AR28" s="156"/>
      <c r="AS28" s="156"/>
      <c r="AT28" s="156"/>
      <c r="AU28" s="156"/>
      <c r="AV28" s="156"/>
      <c r="AW28" s="156"/>
      <c r="AX28" s="156"/>
      <c r="AY28" s="156"/>
      <c r="AZ28" s="157"/>
      <c r="BA28" s="156"/>
      <c r="BB28" s="156"/>
      <c r="BC28" s="156"/>
      <c r="BD28" s="156"/>
      <c r="BE28" s="156"/>
      <c r="BF28" s="156"/>
      <c r="BG28" s="156"/>
      <c r="BH28" s="156"/>
      <c r="BI28" s="156"/>
      <c r="BJ28" s="156"/>
      <c r="BK28" s="156"/>
    </row>
    <row r="29" spans="1:63" x14ac:dyDescent="0.3">
      <c r="A29" s="172">
        <v>2017</v>
      </c>
      <c r="B29" s="491" t="s">
        <v>1656</v>
      </c>
      <c r="C29" s="173">
        <v>43024</v>
      </c>
      <c r="D29" s="173" t="s">
        <v>3</v>
      </c>
      <c r="E29" s="173" t="s">
        <v>171</v>
      </c>
      <c r="F29" s="174" t="s">
        <v>659</v>
      </c>
      <c r="G29" s="174" t="s">
        <v>983</v>
      </c>
      <c r="H29" s="173" t="s">
        <v>60</v>
      </c>
      <c r="I29" s="156">
        <v>23.3</v>
      </c>
      <c r="J29" s="175">
        <v>0.75</v>
      </c>
      <c r="K29" s="175"/>
      <c r="L29" s="175"/>
      <c r="M29" s="155"/>
      <c r="N29" s="175"/>
      <c r="O29" s="175"/>
      <c r="P29" s="154">
        <v>0.41574566447586286</v>
      </c>
      <c r="Q29" s="156">
        <v>0.14940159052011687</v>
      </c>
      <c r="R29" s="156">
        <v>0.7592153933201341</v>
      </c>
      <c r="S29" s="156">
        <v>1.4304015377754822</v>
      </c>
      <c r="T29" s="156">
        <v>2.0229814611002084</v>
      </c>
      <c r="U29" s="156">
        <v>4.024641888779402</v>
      </c>
      <c r="V29" s="156">
        <v>0.7899355423290555</v>
      </c>
      <c r="W29" s="156">
        <v>4.0434133449973197</v>
      </c>
      <c r="X29" s="156">
        <v>2.6256510074818644</v>
      </c>
      <c r="Y29" s="156">
        <v>0.87182506926682857</v>
      </c>
      <c r="Z29" s="156">
        <v>1.0334167682151649</v>
      </c>
      <c r="AA29" s="156">
        <v>5.0718197479355656</v>
      </c>
      <c r="AB29" s="156">
        <v>4.1272410783455307</v>
      </c>
      <c r="AC29" s="160">
        <v>8.5132004727916506</v>
      </c>
      <c r="AD29" s="156">
        <v>0.31142453777584456</v>
      </c>
      <c r="AE29" s="156">
        <v>0.94943706401422712</v>
      </c>
      <c r="AF29" s="156">
        <v>2.3474616433620668</v>
      </c>
      <c r="AG29" s="156">
        <v>2.5943176677258792</v>
      </c>
      <c r="AH29" s="156">
        <v>0.4964667908818442</v>
      </c>
      <c r="AI29" s="154">
        <v>0</v>
      </c>
      <c r="AJ29" s="156">
        <v>0</v>
      </c>
      <c r="AK29" s="156">
        <v>0</v>
      </c>
      <c r="AL29" s="156">
        <v>0</v>
      </c>
      <c r="AM29" s="156">
        <v>0.24868072630981655</v>
      </c>
      <c r="AN29" s="156">
        <v>0</v>
      </c>
      <c r="AO29" s="156">
        <v>0.18718100274985089</v>
      </c>
      <c r="AP29" s="156">
        <v>0.51884338944581043</v>
      </c>
      <c r="AQ29" s="156">
        <v>0.14418384717230948</v>
      </c>
      <c r="AR29" s="156">
        <v>0.52503310005674297</v>
      </c>
      <c r="AS29" s="156">
        <v>0</v>
      </c>
      <c r="AT29" s="156">
        <v>0</v>
      </c>
      <c r="AU29" s="156">
        <v>0</v>
      </c>
      <c r="AV29" s="156">
        <v>0</v>
      </c>
      <c r="AW29" s="156">
        <v>0</v>
      </c>
      <c r="AX29" s="156">
        <v>0</v>
      </c>
      <c r="AY29" s="156">
        <v>0</v>
      </c>
      <c r="AZ29" s="157">
        <v>1.5901692831473426</v>
      </c>
      <c r="BA29" s="156">
        <v>0</v>
      </c>
      <c r="BB29" s="156">
        <v>0</v>
      </c>
      <c r="BC29" s="156">
        <v>0</v>
      </c>
      <c r="BD29" s="156">
        <v>0</v>
      </c>
      <c r="BE29" s="156">
        <v>0.3029317193115188</v>
      </c>
      <c r="BF29" s="156">
        <v>0</v>
      </c>
      <c r="BG29" s="156">
        <v>0.20498865140911671</v>
      </c>
      <c r="BH29" s="156">
        <v>0</v>
      </c>
      <c r="BI29" s="156">
        <v>0</v>
      </c>
      <c r="BJ29" s="156">
        <v>0</v>
      </c>
      <c r="BK29" s="156">
        <v>0</v>
      </c>
    </row>
    <row r="30" spans="1:63" x14ac:dyDescent="0.3">
      <c r="A30" s="172">
        <v>2017</v>
      </c>
      <c r="B30" s="491" t="s">
        <v>1656</v>
      </c>
      <c r="C30" s="173" t="s">
        <v>143</v>
      </c>
      <c r="D30" s="173" t="s">
        <v>3</v>
      </c>
      <c r="E30" s="173" t="s">
        <v>177</v>
      </c>
      <c r="F30" s="174" t="s">
        <v>844</v>
      </c>
      <c r="G30" s="174"/>
      <c r="H30" s="173" t="s">
        <v>179</v>
      </c>
      <c r="I30" s="156">
        <v>12.4</v>
      </c>
      <c r="J30" s="175">
        <v>1.665</v>
      </c>
      <c r="K30" s="175"/>
      <c r="L30" s="175"/>
      <c r="M30" s="155"/>
      <c r="N30" s="175"/>
      <c r="O30" s="175"/>
      <c r="P30" s="154">
        <v>3.0547609443803578</v>
      </c>
      <c r="Q30" s="156">
        <v>1.7694264800525044</v>
      </c>
      <c r="R30" s="156">
        <v>3.9498098968232993</v>
      </c>
      <c r="S30" s="156">
        <v>5.7489475959265066</v>
      </c>
      <c r="T30" s="156">
        <v>8.6541942949708144</v>
      </c>
      <c r="U30" s="156">
        <v>19.823139214621747</v>
      </c>
      <c r="V30" s="156">
        <v>4.636108851005071</v>
      </c>
      <c r="W30" s="156">
        <v>19.399902901954242</v>
      </c>
      <c r="X30" s="156">
        <v>17.204415834185077</v>
      </c>
      <c r="Y30" s="156">
        <v>6.4930061251606253</v>
      </c>
      <c r="Z30" s="156">
        <v>8.0909134458369714</v>
      </c>
      <c r="AA30" s="156">
        <v>33.117545010574595</v>
      </c>
      <c r="AB30" s="156">
        <v>23.570259580748385</v>
      </c>
      <c r="AC30" s="160">
        <v>54.939885490873714</v>
      </c>
      <c r="AD30" s="156">
        <v>3.0066207111289476</v>
      </c>
      <c r="AE30" s="156">
        <v>5.7804331821457682</v>
      </c>
      <c r="AF30" s="156">
        <v>10.007197732376714</v>
      </c>
      <c r="AG30" s="156">
        <v>19.644660134562422</v>
      </c>
      <c r="AH30" s="156">
        <v>2.6099189123420916</v>
      </c>
      <c r="AI30" s="154"/>
      <c r="AJ30" s="156"/>
      <c r="AK30" s="156"/>
      <c r="AL30" s="156"/>
      <c r="AM30" s="156"/>
      <c r="AN30" s="15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156"/>
      <c r="AZ30" s="157"/>
      <c r="BA30" s="156"/>
      <c r="BB30" s="156"/>
      <c r="BC30" s="156"/>
      <c r="BD30" s="156"/>
      <c r="BE30" s="156"/>
      <c r="BF30" s="156"/>
      <c r="BG30" s="156"/>
      <c r="BH30" s="156"/>
      <c r="BI30" s="156"/>
      <c r="BJ30" s="156"/>
      <c r="BK30" s="156"/>
    </row>
    <row r="31" spans="1:63" s="25" customFormat="1" x14ac:dyDescent="0.3">
      <c r="A31" s="480">
        <v>2017</v>
      </c>
      <c r="B31" s="491" t="s">
        <v>1656</v>
      </c>
      <c r="C31" s="481">
        <v>43033</v>
      </c>
      <c r="D31" s="481" t="s">
        <v>3</v>
      </c>
      <c r="E31" s="481" t="s">
        <v>170</v>
      </c>
      <c r="F31" s="482" t="s">
        <v>717</v>
      </c>
      <c r="G31" s="482"/>
      <c r="H31" s="481" t="s">
        <v>91</v>
      </c>
      <c r="I31" s="483">
        <v>30.9</v>
      </c>
      <c r="J31" s="484">
        <v>3.2050000000000001</v>
      </c>
      <c r="K31" s="484">
        <v>-15.679500000000001</v>
      </c>
      <c r="L31" s="484">
        <v>13.923000000000002</v>
      </c>
      <c r="M31" s="503">
        <v>1.7000000000000001E-2</v>
      </c>
      <c r="N31" s="504">
        <v>3.0000000000000001E-3</v>
      </c>
      <c r="O31" s="504">
        <v>4.9000000000000002E-2</v>
      </c>
      <c r="P31" s="487">
        <v>0.48990293222697828</v>
      </c>
      <c r="Q31" s="483">
        <v>0.33847841293947317</v>
      </c>
      <c r="R31" s="483">
        <v>0.86229586237843259</v>
      </c>
      <c r="S31" s="483">
        <v>0.73934208367453624</v>
      </c>
      <c r="T31" s="483">
        <v>4.3699722664072951</v>
      </c>
      <c r="U31" s="483">
        <v>1.9206027038026967</v>
      </c>
      <c r="V31" s="483">
        <v>0.65122269357348772</v>
      </c>
      <c r="W31" s="483">
        <v>1.7514826128093288</v>
      </c>
      <c r="X31" s="483">
        <v>7.6194520996053186</v>
      </c>
      <c r="Y31" s="483">
        <v>0.40070788194317286</v>
      </c>
      <c r="Z31" s="483">
        <v>0.54370446904460779</v>
      </c>
      <c r="AA31" s="483">
        <v>5.0459308520612671</v>
      </c>
      <c r="AB31" s="483">
        <v>2.614715080677438</v>
      </c>
      <c r="AC31" s="488">
        <v>13.553249965107645</v>
      </c>
      <c r="AD31" s="483">
        <v>2.7095717775607486</v>
      </c>
      <c r="AE31" s="483">
        <v>5.7828938899879816</v>
      </c>
      <c r="AF31" s="483">
        <v>14.570643013634827</v>
      </c>
      <c r="AG31" s="483">
        <v>16.810974642676545</v>
      </c>
      <c r="AH31" s="505">
        <v>2.0394379500161728</v>
      </c>
      <c r="AI31" s="487">
        <v>0</v>
      </c>
      <c r="AJ31" s="483">
        <v>0</v>
      </c>
      <c r="AK31" s="483">
        <v>0</v>
      </c>
      <c r="AL31" s="483">
        <v>0</v>
      </c>
      <c r="AM31" s="483">
        <v>0.43822937625754521</v>
      </c>
      <c r="AN31" s="483">
        <v>0.80965794768611665</v>
      </c>
      <c r="AO31" s="483">
        <v>0.28627860678399203</v>
      </c>
      <c r="AP31" s="483">
        <v>0.76293052432240482</v>
      </c>
      <c r="AQ31" s="483">
        <v>0.24814770978814055</v>
      </c>
      <c r="AR31" s="483">
        <v>0</v>
      </c>
      <c r="AS31" s="483">
        <v>3.9425257426914424</v>
      </c>
      <c r="AT31" s="483">
        <v>0</v>
      </c>
      <c r="AU31" s="483">
        <v>0</v>
      </c>
      <c r="AV31" s="483">
        <v>0.42521008403361338</v>
      </c>
      <c r="AW31" s="483">
        <v>0</v>
      </c>
      <c r="AX31" s="483">
        <v>0</v>
      </c>
      <c r="AY31" s="483">
        <v>0</v>
      </c>
      <c r="AZ31" s="489">
        <v>4.5844715350929093</v>
      </c>
      <c r="BA31" s="483">
        <v>0.76530950408332332</v>
      </c>
      <c r="BB31" s="483">
        <v>0</v>
      </c>
      <c r="BC31" s="483">
        <v>0</v>
      </c>
      <c r="BD31" s="483">
        <v>0</v>
      </c>
      <c r="BE31" s="483">
        <v>0.65955734406438626</v>
      </c>
      <c r="BF31" s="483">
        <v>3.1506687181915009E-2</v>
      </c>
      <c r="BG31" s="483">
        <v>0</v>
      </c>
      <c r="BH31" s="483">
        <v>0</v>
      </c>
      <c r="BI31" s="483">
        <v>0</v>
      </c>
      <c r="BJ31" s="483">
        <v>0</v>
      </c>
      <c r="BK31" s="483">
        <v>0</v>
      </c>
    </row>
    <row r="32" spans="1:63" x14ac:dyDescent="0.3">
      <c r="A32" s="172">
        <v>2017</v>
      </c>
      <c r="B32" s="491" t="s">
        <v>1656</v>
      </c>
      <c r="C32" s="173">
        <v>43026</v>
      </c>
      <c r="D32" s="63" t="s">
        <v>13</v>
      </c>
      <c r="E32" s="173" t="s">
        <v>183</v>
      </c>
      <c r="F32" s="174" t="s">
        <v>989</v>
      </c>
      <c r="G32" s="174" t="s">
        <v>984</v>
      </c>
      <c r="H32" s="173" t="s">
        <v>83</v>
      </c>
      <c r="I32" s="156">
        <v>13.3</v>
      </c>
      <c r="J32" s="175">
        <v>2.2240000000000002</v>
      </c>
      <c r="K32" s="175"/>
      <c r="L32" s="175"/>
      <c r="M32" s="167">
        <v>0.51</v>
      </c>
      <c r="N32" s="165">
        <v>0.02</v>
      </c>
      <c r="O32" s="165">
        <v>0.13100000000000001</v>
      </c>
      <c r="P32" s="154">
        <v>2.4650971299405722</v>
      </c>
      <c r="Q32" s="156">
        <v>1.3135222658457315</v>
      </c>
      <c r="R32" s="156">
        <v>9.1457330806284478</v>
      </c>
      <c r="S32" s="156">
        <v>18.322093708194636</v>
      </c>
      <c r="T32" s="156">
        <v>17.299023427280716</v>
      </c>
      <c r="U32" s="156">
        <v>140.92790515856902</v>
      </c>
      <c r="V32" s="156">
        <v>15.453943051472217</v>
      </c>
      <c r="W32" s="156">
        <v>146.17244941588061</v>
      </c>
      <c r="X32" s="156">
        <v>99.927766607507181</v>
      </c>
      <c r="Y32" s="156">
        <v>24.530566273517714</v>
      </c>
      <c r="Z32" s="156">
        <v>41.526388006571665</v>
      </c>
      <c r="AA32" s="156">
        <v>171.74196126219488</v>
      </c>
      <c r="AB32" s="156">
        <v>142.66148964343037</v>
      </c>
      <c r="AC32" s="160">
        <v>308.55120604866715</v>
      </c>
      <c r="AD32" s="156">
        <v>9.89118515627821</v>
      </c>
      <c r="AE32" s="156">
        <v>28.446697891021408</v>
      </c>
      <c r="AF32" s="156">
        <v>62.704485374914583</v>
      </c>
      <c r="AG32" s="156">
        <v>62.677535578862532</v>
      </c>
      <c r="AH32" s="156">
        <v>10.039041006022241</v>
      </c>
      <c r="AI32" s="154">
        <v>1.1951980520273979</v>
      </c>
      <c r="AJ32" s="156">
        <v>1.73702680906181</v>
      </c>
      <c r="AK32" s="156">
        <v>0</v>
      </c>
      <c r="AL32" s="156">
        <v>0</v>
      </c>
      <c r="AM32" s="156">
        <v>0.40157384100295707</v>
      </c>
      <c r="AN32" s="156">
        <v>1.4752559935482294</v>
      </c>
      <c r="AO32" s="156">
        <v>0.64753311890094312</v>
      </c>
      <c r="AP32" s="156">
        <v>1.1518218920305971</v>
      </c>
      <c r="AQ32" s="156">
        <v>0.14827341821647644</v>
      </c>
      <c r="AR32" s="156">
        <v>0</v>
      </c>
      <c r="AS32" s="156">
        <v>0.93194848358953075</v>
      </c>
      <c r="AT32" s="156">
        <v>0</v>
      </c>
      <c r="AU32" s="156">
        <v>0</v>
      </c>
      <c r="AV32" s="156">
        <v>0.17453016935897747</v>
      </c>
      <c r="AW32" s="156">
        <v>0</v>
      </c>
      <c r="AX32" s="156">
        <v>0</v>
      </c>
      <c r="AY32" s="156">
        <v>0</v>
      </c>
      <c r="AZ32" s="157">
        <v>3.7998582565556349</v>
      </c>
      <c r="BA32" s="156">
        <v>0</v>
      </c>
      <c r="BB32" s="156">
        <v>0</v>
      </c>
      <c r="BC32" s="156">
        <v>0</v>
      </c>
      <c r="BD32" s="156">
        <v>0</v>
      </c>
      <c r="BE32" s="156">
        <v>1.0518145604731297</v>
      </c>
      <c r="BF32" s="156">
        <v>0.19267821794276499</v>
      </c>
      <c r="BG32" s="156">
        <v>0.25870622449228969</v>
      </c>
      <c r="BH32" s="156">
        <v>0</v>
      </c>
      <c r="BI32" s="156">
        <v>0</v>
      </c>
      <c r="BJ32" s="156">
        <v>0</v>
      </c>
      <c r="BK32" s="156">
        <v>0</v>
      </c>
    </row>
    <row r="33" spans="1:63" x14ac:dyDescent="0.3">
      <c r="A33" s="172">
        <v>2017</v>
      </c>
      <c r="B33" s="491" t="s">
        <v>1656</v>
      </c>
      <c r="C33" s="173">
        <v>43026</v>
      </c>
      <c r="D33" s="63" t="s">
        <v>13</v>
      </c>
      <c r="E33" s="173" t="s">
        <v>183</v>
      </c>
      <c r="F33" s="174" t="s">
        <v>864</v>
      </c>
      <c r="G33" s="174" t="s">
        <v>984</v>
      </c>
      <c r="H33" s="173" t="s">
        <v>84</v>
      </c>
      <c r="I33" s="156">
        <v>9.1999999999999993</v>
      </c>
      <c r="J33" s="175">
        <v>3.0139999999999998</v>
      </c>
      <c r="K33" s="175"/>
      <c r="L33" s="175"/>
      <c r="M33" s="155"/>
      <c r="N33" s="175"/>
      <c r="O33" s="175"/>
      <c r="P33" s="154">
        <v>2.47474268367047</v>
      </c>
      <c r="Q33" s="156">
        <v>1.6103493708642007</v>
      </c>
      <c r="R33" s="156">
        <v>5.915734229445488</v>
      </c>
      <c r="S33" s="156">
        <v>9.3108340417723809</v>
      </c>
      <c r="T33" s="156">
        <v>13.05693050433273</v>
      </c>
      <c r="U33" s="156">
        <v>30.985536985658186</v>
      </c>
      <c r="V33" s="156">
        <v>4.7949194928998349</v>
      </c>
      <c r="W33" s="156">
        <v>32.317439856303977</v>
      </c>
      <c r="X33" s="156">
        <v>22.468661162551669</v>
      </c>
      <c r="Y33" s="156">
        <v>6.8972693165998908</v>
      </c>
      <c r="Z33" s="156">
        <v>8.8733660173337441</v>
      </c>
      <c r="AA33" s="156">
        <v>40.26738970800757</v>
      </c>
      <c r="AB33" s="156">
        <v>29.51935313575251</v>
      </c>
      <c r="AC33" s="160">
        <v>73.823716417913005</v>
      </c>
      <c r="AD33" s="156">
        <v>2.8546796315827074</v>
      </c>
      <c r="AE33" s="156">
        <v>7.2461235046014814</v>
      </c>
      <c r="AF33" s="156">
        <v>17.549974734573329</v>
      </c>
      <c r="AG33" s="156">
        <v>13.270715733577029</v>
      </c>
      <c r="AH33" s="156">
        <v>2.8604162532465587</v>
      </c>
      <c r="AI33" s="154">
        <v>0</v>
      </c>
      <c r="AJ33" s="156">
        <v>0</v>
      </c>
      <c r="AK33" s="156">
        <v>0</v>
      </c>
      <c r="AL33" s="156">
        <v>0</v>
      </c>
      <c r="AM33" s="156">
        <v>0.24670990714016816</v>
      </c>
      <c r="AN33" s="156">
        <v>0.62984187808640846</v>
      </c>
      <c r="AO33" s="156">
        <v>0.45442495921696574</v>
      </c>
      <c r="AP33" s="156">
        <v>1.1274038461538463</v>
      </c>
      <c r="AQ33" s="156">
        <v>0.54412802735600452</v>
      </c>
      <c r="AR33" s="156">
        <v>1.4592404944158615</v>
      </c>
      <c r="AS33" s="156">
        <v>1.9731131387804213</v>
      </c>
      <c r="AT33" s="156">
        <v>0</v>
      </c>
      <c r="AU33" s="156">
        <v>0</v>
      </c>
      <c r="AV33" s="156">
        <v>0.28428127745011922</v>
      </c>
      <c r="AW33" s="156">
        <v>0</v>
      </c>
      <c r="AX33" s="156">
        <v>0</v>
      </c>
      <c r="AY33" s="156">
        <v>0</v>
      </c>
      <c r="AZ33" s="157">
        <v>2.2410829095096445</v>
      </c>
      <c r="BA33" s="156">
        <v>0</v>
      </c>
      <c r="BB33" s="156">
        <v>0</v>
      </c>
      <c r="BC33" s="156">
        <v>0</v>
      </c>
      <c r="BD33" s="156">
        <v>0</v>
      </c>
      <c r="BE33" s="156">
        <v>0.32500549002384244</v>
      </c>
      <c r="BF33" s="156">
        <v>0.20178190488141548</v>
      </c>
      <c r="BG33" s="156">
        <v>0</v>
      </c>
      <c r="BH33" s="156">
        <v>32.795300539590919</v>
      </c>
      <c r="BI33" s="156">
        <v>0</v>
      </c>
      <c r="BJ33" s="156">
        <v>0</v>
      </c>
      <c r="BK33" s="156">
        <v>0</v>
      </c>
    </row>
    <row r="34" spans="1:63" x14ac:dyDescent="0.3">
      <c r="A34" s="172">
        <v>2017</v>
      </c>
      <c r="B34" s="491" t="s">
        <v>1656</v>
      </c>
      <c r="C34" s="173">
        <v>43026</v>
      </c>
      <c r="D34" s="63" t="s">
        <v>13</v>
      </c>
      <c r="E34" s="173" t="s">
        <v>183</v>
      </c>
      <c r="F34" s="174" t="s">
        <v>733</v>
      </c>
      <c r="G34" s="174"/>
      <c r="H34" s="173" t="s">
        <v>87</v>
      </c>
      <c r="I34" s="156">
        <v>13.3</v>
      </c>
      <c r="J34" s="175">
        <v>1.335</v>
      </c>
      <c r="K34" s="175"/>
      <c r="L34" s="175"/>
      <c r="M34" s="167">
        <v>5.7000000000000002E-2</v>
      </c>
      <c r="N34" s="176">
        <v>1.2E-2</v>
      </c>
      <c r="O34" s="477"/>
      <c r="P34" s="154">
        <v>1.3609502619135656</v>
      </c>
      <c r="Q34" s="156">
        <v>0.81658984126167988</v>
      </c>
      <c r="R34" s="156">
        <v>5.8459727059048952</v>
      </c>
      <c r="S34" s="156">
        <v>5.9372626030369986</v>
      </c>
      <c r="T34" s="156">
        <v>10.990327356964752</v>
      </c>
      <c r="U34" s="156">
        <v>19.878618360603753</v>
      </c>
      <c r="V34" s="156">
        <v>3.8888346230992061</v>
      </c>
      <c r="W34" s="156">
        <v>31.640520337157533</v>
      </c>
      <c r="X34" s="156">
        <v>20.040810969451186</v>
      </c>
      <c r="Y34" s="156">
        <v>7.5997317968677347</v>
      </c>
      <c r="Z34" s="156">
        <v>8.3920206482370254</v>
      </c>
      <c r="AA34" s="156">
        <v>47.497641327034202</v>
      </c>
      <c r="AB34" s="156">
        <v>35.385633407621</v>
      </c>
      <c r="AC34" s="160">
        <v>93.423430237330408</v>
      </c>
      <c r="AD34" s="156">
        <v>2.7218060173339591</v>
      </c>
      <c r="AE34" s="156">
        <v>8.8997363137702834</v>
      </c>
      <c r="AF34" s="156">
        <v>24.739001877769944</v>
      </c>
      <c r="AG34" s="156">
        <v>19.862216624319871</v>
      </c>
      <c r="AH34" s="156">
        <v>2.78355751242725</v>
      </c>
      <c r="AI34" s="154">
        <v>0</v>
      </c>
      <c r="AJ34" s="156">
        <v>0</v>
      </c>
      <c r="AK34" s="156">
        <v>49.673565249744208</v>
      </c>
      <c r="AL34" s="156">
        <v>114.54749382016612</v>
      </c>
      <c r="AM34" s="156">
        <v>14.1606129662357</v>
      </c>
      <c r="AN34" s="156">
        <v>2.2622690821282476</v>
      </c>
      <c r="AO34" s="156">
        <v>0</v>
      </c>
      <c r="AP34" s="156">
        <v>0.37054305025889067</v>
      </c>
      <c r="AQ34" s="156">
        <v>0</v>
      </c>
      <c r="AR34" s="156">
        <v>0.66812001984311531</v>
      </c>
      <c r="AS34" s="156">
        <v>2.5130051285698918</v>
      </c>
      <c r="AT34" s="156">
        <v>0</v>
      </c>
      <c r="AU34" s="156">
        <v>0.37729436021455376</v>
      </c>
      <c r="AV34" s="156">
        <v>0.41027191269029245</v>
      </c>
      <c r="AW34" s="156">
        <v>0</v>
      </c>
      <c r="AX34" s="156">
        <v>2.5667961119895826</v>
      </c>
      <c r="AY34" s="156">
        <v>0</v>
      </c>
      <c r="AZ34" s="157">
        <v>7.7255141792555557</v>
      </c>
      <c r="BA34" s="156">
        <v>1.4069141767022133</v>
      </c>
      <c r="BB34" s="156">
        <v>0</v>
      </c>
      <c r="BC34" s="156">
        <v>0</v>
      </c>
      <c r="BD34" s="156">
        <v>0</v>
      </c>
      <c r="BE34" s="156">
        <v>0</v>
      </c>
      <c r="BF34" s="156">
        <v>0.3160132390785354</v>
      </c>
      <c r="BG34" s="156">
        <v>0</v>
      </c>
      <c r="BH34" s="156">
        <v>0</v>
      </c>
      <c r="BI34" s="156">
        <v>0</v>
      </c>
      <c r="BJ34" s="156">
        <v>0</v>
      </c>
      <c r="BK34" s="156">
        <v>0</v>
      </c>
    </row>
    <row r="35" spans="1:63" x14ac:dyDescent="0.3">
      <c r="A35" s="172">
        <v>2017</v>
      </c>
      <c r="B35" s="491" t="s">
        <v>1656</v>
      </c>
      <c r="C35" s="173">
        <v>43026</v>
      </c>
      <c r="D35" s="63" t="s">
        <v>13</v>
      </c>
      <c r="E35" s="173" t="s">
        <v>183</v>
      </c>
      <c r="F35" s="174" t="s">
        <v>864</v>
      </c>
      <c r="G35" s="174"/>
      <c r="H35" s="173" t="s">
        <v>85</v>
      </c>
      <c r="I35" s="156">
        <v>10.3</v>
      </c>
      <c r="J35" s="175">
        <v>2.9980000000000002</v>
      </c>
      <c r="K35" s="175"/>
      <c r="L35" s="175"/>
      <c r="M35" s="167">
        <v>4.2919999999999998</v>
      </c>
      <c r="N35" s="165">
        <v>2.0230000000000001</v>
      </c>
      <c r="O35" s="165">
        <v>21.349</v>
      </c>
      <c r="P35" s="154">
        <v>2.693074906336407</v>
      </c>
      <c r="Q35" s="156">
        <v>1.810422781609283</v>
      </c>
      <c r="R35" s="156">
        <v>5.6733639678664023</v>
      </c>
      <c r="S35" s="156">
        <v>9.3364602776966006</v>
      </c>
      <c r="T35" s="156">
        <v>13.181259910311377</v>
      </c>
      <c r="U35" s="156">
        <v>28.256657836511494</v>
      </c>
      <c r="V35" s="156">
        <v>4.2806073949761041</v>
      </c>
      <c r="W35" s="156">
        <v>28.470498886762066</v>
      </c>
      <c r="X35" s="156">
        <v>19.935131677456717</v>
      </c>
      <c r="Y35" s="156">
        <v>5.9313247388194617</v>
      </c>
      <c r="Z35" s="156">
        <v>7.4831828356550361</v>
      </c>
      <c r="AA35" s="156">
        <v>35.315441819532566</v>
      </c>
      <c r="AB35" s="156">
        <v>25.344972561955565</v>
      </c>
      <c r="AC35" s="160">
        <v>64.978598424412709</v>
      </c>
      <c r="AD35" s="156">
        <v>2.5992187091498966</v>
      </c>
      <c r="AE35" s="156">
        <v>6.1748321571812834</v>
      </c>
      <c r="AF35" s="156">
        <v>14.794452760450682</v>
      </c>
      <c r="AG35" s="156">
        <v>11.511769072944176</v>
      </c>
      <c r="AH35" s="156">
        <v>2.4766841014927845</v>
      </c>
      <c r="AI35" s="154">
        <v>0</v>
      </c>
      <c r="AJ35" s="156">
        <v>0</v>
      </c>
      <c r="AK35" s="156">
        <v>0</v>
      </c>
      <c r="AL35" s="156">
        <v>0</v>
      </c>
      <c r="AM35" s="156">
        <v>0.21966194439936007</v>
      </c>
      <c r="AN35" s="156">
        <v>0.61432910570613752</v>
      </c>
      <c r="AO35" s="156">
        <v>0.35112355241966414</v>
      </c>
      <c r="AP35" s="156">
        <v>1.4027916251246264</v>
      </c>
      <c r="AQ35" s="156">
        <v>0.17896079204247722</v>
      </c>
      <c r="AR35" s="156">
        <v>1.6696793340907512</v>
      </c>
      <c r="AS35" s="156">
        <v>1.5943889262445223</v>
      </c>
      <c r="AT35" s="156">
        <v>0</v>
      </c>
      <c r="AU35" s="156">
        <v>0</v>
      </c>
      <c r="AV35" s="156">
        <v>0.32436643557699002</v>
      </c>
      <c r="AW35" s="156">
        <v>0</v>
      </c>
      <c r="AX35" s="156">
        <v>0</v>
      </c>
      <c r="AY35" s="156">
        <v>0</v>
      </c>
      <c r="AZ35" s="157">
        <v>2.084750399962902</v>
      </c>
      <c r="BA35" s="156">
        <v>0</v>
      </c>
      <c r="BB35" s="156">
        <v>0</v>
      </c>
      <c r="BC35" s="156">
        <v>0</v>
      </c>
      <c r="BD35" s="156">
        <v>0</v>
      </c>
      <c r="BE35" s="156">
        <v>0.30696746968397132</v>
      </c>
      <c r="BF35" s="156">
        <v>0.16373669688608591</v>
      </c>
      <c r="BG35" s="156">
        <v>0.2758978877321524</v>
      </c>
      <c r="BH35" s="156">
        <v>0</v>
      </c>
      <c r="BI35" s="156">
        <v>0</v>
      </c>
      <c r="BJ35" s="156">
        <v>0</v>
      </c>
      <c r="BK35" s="156">
        <v>0</v>
      </c>
    </row>
    <row r="36" spans="1:63" x14ac:dyDescent="0.3">
      <c r="A36" s="172">
        <v>2017</v>
      </c>
      <c r="B36" s="491" t="s">
        <v>1656</v>
      </c>
      <c r="C36" s="173">
        <v>43026</v>
      </c>
      <c r="D36" s="63" t="s">
        <v>13</v>
      </c>
      <c r="E36" s="173" t="s">
        <v>183</v>
      </c>
      <c r="F36" s="174" t="s">
        <v>864</v>
      </c>
      <c r="G36" s="174" t="s">
        <v>984</v>
      </c>
      <c r="H36" s="173" t="s">
        <v>86</v>
      </c>
      <c r="I36" s="156">
        <v>10.4</v>
      </c>
      <c r="J36" s="175">
        <v>2.3250000000000002</v>
      </c>
      <c r="K36" s="175"/>
      <c r="L36" s="175"/>
      <c r="M36" s="155"/>
      <c r="N36" s="175"/>
      <c r="O36" s="175"/>
      <c r="P36" s="154">
        <v>2.4700000000000002</v>
      </c>
      <c r="Q36" s="156">
        <v>1.6</v>
      </c>
      <c r="R36" s="156">
        <v>5.87</v>
      </c>
      <c r="S36" s="156">
        <v>9.31</v>
      </c>
      <c r="T36" s="156">
        <v>12.71</v>
      </c>
      <c r="U36" s="156">
        <v>31.83</v>
      </c>
      <c r="V36" s="156">
        <v>4.6900000000000004</v>
      </c>
      <c r="W36" s="156">
        <v>31.47</v>
      </c>
      <c r="X36" s="156">
        <v>22.68</v>
      </c>
      <c r="Y36" s="156">
        <v>6.75</v>
      </c>
      <c r="Z36" s="156">
        <v>8.84</v>
      </c>
      <c r="AA36" s="156">
        <v>39.81</v>
      </c>
      <c r="AB36" s="156">
        <v>28.3</v>
      </c>
      <c r="AC36" s="160">
        <v>73.77</v>
      </c>
      <c r="AD36" s="156">
        <v>2.79</v>
      </c>
      <c r="AE36" s="156">
        <v>7.24</v>
      </c>
      <c r="AF36" s="156">
        <v>17.149999999999999</v>
      </c>
      <c r="AG36" s="156">
        <v>13.21</v>
      </c>
      <c r="AH36" s="156">
        <v>2.83</v>
      </c>
      <c r="AI36" s="154">
        <v>0</v>
      </c>
      <c r="AJ36" s="156">
        <v>0</v>
      </c>
      <c r="AK36" s="156">
        <v>0</v>
      </c>
      <c r="AL36" s="156">
        <v>0</v>
      </c>
      <c r="AM36" s="156">
        <v>0.21021897810218973</v>
      </c>
      <c r="AN36" s="156">
        <v>0.70456562186918559</v>
      </c>
      <c r="AO36" s="156">
        <v>0.4823101877846403</v>
      </c>
      <c r="AP36" s="156">
        <v>1.2655312246553121</v>
      </c>
      <c r="AQ36" s="156">
        <v>0</v>
      </c>
      <c r="AR36" s="156">
        <v>1.2626115166261149</v>
      </c>
      <c r="AS36" s="156">
        <v>1.9659844473069026</v>
      </c>
      <c r="AT36" s="156">
        <v>0</v>
      </c>
      <c r="AU36" s="156">
        <v>0</v>
      </c>
      <c r="AV36" s="156">
        <v>0.29132197891321976</v>
      </c>
      <c r="AW36" s="156">
        <v>0</v>
      </c>
      <c r="AX36" s="156">
        <v>0</v>
      </c>
      <c r="AY36" s="156">
        <v>0</v>
      </c>
      <c r="AZ36" s="157">
        <v>2.5188302084824192</v>
      </c>
      <c r="BA36" s="156">
        <v>0</v>
      </c>
      <c r="BB36" s="156">
        <v>0</v>
      </c>
      <c r="BC36" s="156">
        <v>0</v>
      </c>
      <c r="BD36" s="156">
        <v>0</v>
      </c>
      <c r="BE36" s="156">
        <v>0.42141119221411183</v>
      </c>
      <c r="BF36" s="156">
        <v>0.14533657745336576</v>
      </c>
      <c r="BG36" s="156">
        <v>0.31273317112733168</v>
      </c>
      <c r="BH36" s="156">
        <v>0</v>
      </c>
      <c r="BI36" s="156">
        <v>0.82902533276084145</v>
      </c>
      <c r="BJ36" s="156">
        <v>0</v>
      </c>
      <c r="BK36" s="156">
        <v>0</v>
      </c>
    </row>
    <row r="37" spans="1:63" x14ac:dyDescent="0.3">
      <c r="A37" s="172">
        <v>2017</v>
      </c>
      <c r="B37" s="491" t="s">
        <v>1656</v>
      </c>
      <c r="C37" s="173">
        <v>43026</v>
      </c>
      <c r="D37" s="63" t="s">
        <v>13</v>
      </c>
      <c r="E37" s="173" t="s">
        <v>183</v>
      </c>
      <c r="F37" s="174" t="s">
        <v>991</v>
      </c>
      <c r="G37" s="174"/>
      <c r="H37" s="173" t="s">
        <v>89</v>
      </c>
      <c r="I37" s="156">
        <v>9.8000000000000007</v>
      </c>
      <c r="J37" s="175">
        <v>2.85</v>
      </c>
      <c r="K37" s="175">
        <v>-18.288499999999999</v>
      </c>
      <c r="L37" s="175">
        <v>10.526000000000003</v>
      </c>
      <c r="M37" s="155"/>
      <c r="N37" s="175"/>
      <c r="O37" s="175"/>
      <c r="P37" s="154">
        <v>13.359439370695759</v>
      </c>
      <c r="Q37" s="156">
        <v>9.0300113756817151</v>
      </c>
      <c r="R37" s="156">
        <v>33.66160738797916</v>
      </c>
      <c r="S37" s="156">
        <v>41.017522663822483</v>
      </c>
      <c r="T37" s="156">
        <v>66.471498235908939</v>
      </c>
      <c r="U37" s="156">
        <v>97.740046536043792</v>
      </c>
      <c r="V37" s="156">
        <v>10.875669820516165</v>
      </c>
      <c r="W37" s="156">
        <v>103.42581213376137</v>
      </c>
      <c r="X37" s="156">
        <v>58.008593730989276</v>
      </c>
      <c r="Y37" s="156">
        <v>18.123201958746684</v>
      </c>
      <c r="Z37" s="156">
        <v>26.974437471322023</v>
      </c>
      <c r="AA37" s="156">
        <v>97.503380555736726</v>
      </c>
      <c r="AB37" s="156">
        <v>94.275437571564595</v>
      </c>
      <c r="AC37" s="160">
        <v>171.60489627366735</v>
      </c>
      <c r="AD37" s="156">
        <v>6.9683531703815991</v>
      </c>
      <c r="AE37" s="156">
        <v>21.773479898818039</v>
      </c>
      <c r="AF37" s="156">
        <v>51.071626656289212</v>
      </c>
      <c r="AG37" s="156">
        <v>35.070748331954178</v>
      </c>
      <c r="AH37" s="156">
        <v>6.9012614121657911</v>
      </c>
      <c r="AI37" s="154">
        <v>5.2156132551596759</v>
      </c>
      <c r="AJ37" s="156">
        <v>12.91169383416017</v>
      </c>
      <c r="AK37" s="156">
        <v>13.284809827545475</v>
      </c>
      <c r="AL37" s="156">
        <v>5.2274853424392758</v>
      </c>
      <c r="AM37" s="156">
        <v>0.56772974249940944</v>
      </c>
      <c r="AN37" s="156">
        <v>0.76496102055279935</v>
      </c>
      <c r="AO37" s="156">
        <v>0.25811026913082186</v>
      </c>
      <c r="AP37" s="156">
        <v>0.87389558232931719</v>
      </c>
      <c r="AQ37" s="156">
        <v>0</v>
      </c>
      <c r="AR37" s="156">
        <v>0</v>
      </c>
      <c r="AS37" s="156">
        <v>7.9663879045594159</v>
      </c>
      <c r="AT37" s="156">
        <v>0</v>
      </c>
      <c r="AU37" s="156">
        <v>1.6687928183321521</v>
      </c>
      <c r="AV37" s="156">
        <v>3.742404913772738</v>
      </c>
      <c r="AW37" s="156">
        <v>0</v>
      </c>
      <c r="AX37" s="156">
        <v>1.9337585636664307</v>
      </c>
      <c r="AY37" s="156">
        <v>0</v>
      </c>
      <c r="AZ37" s="157">
        <v>3.9616536735176</v>
      </c>
      <c r="BA37" s="156">
        <v>0</v>
      </c>
      <c r="BB37" s="156">
        <v>0</v>
      </c>
      <c r="BC37" s="156">
        <v>0</v>
      </c>
      <c r="BD37" s="156">
        <v>0</v>
      </c>
      <c r="BE37" s="156">
        <v>4.5063075832742729</v>
      </c>
      <c r="BF37" s="156">
        <v>6.2745098039215685E-2</v>
      </c>
      <c r="BG37" s="156">
        <v>0</v>
      </c>
      <c r="BH37" s="156">
        <v>0</v>
      </c>
      <c r="BI37" s="156">
        <v>0</v>
      </c>
      <c r="BJ37" s="156">
        <v>0</v>
      </c>
      <c r="BK37" s="156">
        <v>0</v>
      </c>
    </row>
    <row r="38" spans="1:63" s="25" customFormat="1" x14ac:dyDescent="0.3">
      <c r="A38" s="480">
        <v>2017</v>
      </c>
      <c r="B38" s="491" t="s">
        <v>1656</v>
      </c>
      <c r="C38" s="481">
        <v>43033</v>
      </c>
      <c r="D38" s="25" t="s">
        <v>13</v>
      </c>
      <c r="E38" s="481" t="s">
        <v>183</v>
      </c>
      <c r="F38" s="482" t="s">
        <v>717</v>
      </c>
      <c r="G38" s="482"/>
      <c r="H38" s="481" t="s">
        <v>90</v>
      </c>
      <c r="I38" s="483">
        <v>28.2</v>
      </c>
      <c r="J38" s="484">
        <v>2.1779999999999999</v>
      </c>
      <c r="K38" s="484">
        <v>-15.5745</v>
      </c>
      <c r="L38" s="484">
        <v>14.027000000000003</v>
      </c>
      <c r="M38" s="506">
        <v>8.0000000000000002E-3</v>
      </c>
      <c r="N38" s="479">
        <v>2E-3</v>
      </c>
      <c r="O38" s="479">
        <v>1.38E-2</v>
      </c>
      <c r="P38" s="507">
        <v>0.49</v>
      </c>
      <c r="Q38" s="508">
        <v>0.31</v>
      </c>
      <c r="R38" s="508">
        <v>1.07</v>
      </c>
      <c r="S38" s="508">
        <v>0.72</v>
      </c>
      <c r="T38" s="508">
        <v>4.8</v>
      </c>
      <c r="U38" s="508">
        <v>1.38</v>
      </c>
      <c r="V38" s="508">
        <v>0.57999999999999996</v>
      </c>
      <c r="W38" s="508">
        <v>1.42</v>
      </c>
      <c r="X38" s="508">
        <v>8.1</v>
      </c>
      <c r="Y38" s="508">
        <v>0.24</v>
      </c>
      <c r="Z38" s="508">
        <v>0.4</v>
      </c>
      <c r="AA38" s="508">
        <v>4.13</v>
      </c>
      <c r="AB38" s="508">
        <v>1.97</v>
      </c>
      <c r="AC38" s="509">
        <v>13.18</v>
      </c>
      <c r="AD38" s="508">
        <v>3.1</v>
      </c>
      <c r="AE38" s="508">
        <v>6.53</v>
      </c>
      <c r="AF38" s="508">
        <v>17.010000000000002</v>
      </c>
      <c r="AG38" s="508">
        <v>18.57</v>
      </c>
      <c r="AH38" s="508">
        <v>2.2200000000000002</v>
      </c>
      <c r="AI38" s="487">
        <v>0</v>
      </c>
      <c r="AJ38" s="483">
        <v>0</v>
      </c>
      <c r="AK38" s="483">
        <v>0</v>
      </c>
      <c r="AL38" s="483">
        <v>0</v>
      </c>
      <c r="AM38" s="483">
        <v>0.58102826980662847</v>
      </c>
      <c r="AN38" s="483">
        <v>0.98360655737704905</v>
      </c>
      <c r="AO38" s="483">
        <v>0.37799846958096972</v>
      </c>
      <c r="AP38" s="483">
        <v>1.0133279196061513</v>
      </c>
      <c r="AQ38" s="483">
        <v>0.24812465106836523</v>
      </c>
      <c r="AR38" s="483">
        <v>0</v>
      </c>
      <c r="AS38" s="483">
        <v>5.668893061970258</v>
      </c>
      <c r="AT38" s="483">
        <v>0</v>
      </c>
      <c r="AU38" s="483">
        <v>0</v>
      </c>
      <c r="AV38" s="483">
        <v>0.90808506318834692</v>
      </c>
      <c r="AW38" s="483">
        <v>0</v>
      </c>
      <c r="AX38" s="483">
        <v>0</v>
      </c>
      <c r="AY38" s="483">
        <v>0</v>
      </c>
      <c r="AZ38" s="489">
        <v>5.9438461148048516</v>
      </c>
      <c r="BA38" s="483">
        <v>1.0053951174947979</v>
      </c>
      <c r="BB38" s="483">
        <v>0</v>
      </c>
      <c r="BC38" s="483">
        <v>0</v>
      </c>
      <c r="BD38" s="483">
        <v>0</v>
      </c>
      <c r="BE38" s="483">
        <v>1.2563365984875399</v>
      </c>
      <c r="BF38" s="483">
        <v>4.3851190174085168E-2</v>
      </c>
      <c r="BG38" s="483">
        <v>0</v>
      </c>
      <c r="BH38" s="483">
        <v>0</v>
      </c>
      <c r="BI38" s="483">
        <v>0</v>
      </c>
      <c r="BJ38" s="483">
        <v>0</v>
      </c>
      <c r="BK38" s="483">
        <v>0</v>
      </c>
    </row>
    <row r="39" spans="1:63" x14ac:dyDescent="0.3">
      <c r="A39" s="172">
        <v>2017</v>
      </c>
      <c r="B39" s="491" t="s">
        <v>1656</v>
      </c>
      <c r="C39" s="173">
        <v>43024</v>
      </c>
      <c r="D39" s="173" t="s">
        <v>14</v>
      </c>
      <c r="E39" s="173"/>
      <c r="F39" s="174" t="s">
        <v>679</v>
      </c>
      <c r="G39" s="174" t="s">
        <v>985</v>
      </c>
      <c r="H39" s="173" t="s">
        <v>70</v>
      </c>
      <c r="I39" s="156">
        <v>10.3</v>
      </c>
      <c r="J39" s="175"/>
      <c r="K39" s="175"/>
      <c r="L39" s="175"/>
      <c r="M39" s="155"/>
      <c r="N39" s="175"/>
      <c r="O39" s="175"/>
      <c r="P39" s="154"/>
      <c r="Q39" s="156"/>
      <c r="R39" s="156"/>
      <c r="S39" s="156"/>
      <c r="T39" s="156"/>
      <c r="U39" s="156"/>
      <c r="V39" s="156"/>
      <c r="W39" s="156"/>
      <c r="X39" s="156"/>
      <c r="Y39" s="156"/>
      <c r="Z39" s="156"/>
      <c r="AA39" s="156"/>
      <c r="AB39" s="156"/>
      <c r="AC39" s="160"/>
      <c r="AD39" s="156"/>
      <c r="AE39" s="156"/>
      <c r="AF39" s="156"/>
      <c r="AG39" s="156"/>
      <c r="AH39" s="156"/>
      <c r="AI39" s="154">
        <v>0</v>
      </c>
      <c r="AJ39" s="156">
        <v>0</v>
      </c>
      <c r="AK39" s="156">
        <v>0</v>
      </c>
      <c r="AL39" s="156">
        <v>0</v>
      </c>
      <c r="AM39" s="156">
        <v>0.2419252018699532</v>
      </c>
      <c r="AN39" s="156">
        <v>0</v>
      </c>
      <c r="AO39" s="156">
        <v>0</v>
      </c>
      <c r="AP39" s="156">
        <v>0.24480526379697648</v>
      </c>
      <c r="AQ39" s="156">
        <v>0.19741515390686656</v>
      </c>
      <c r="AR39" s="156">
        <v>0.63256632869892526</v>
      </c>
      <c r="AS39" s="156">
        <v>0.27916351198362893</v>
      </c>
      <c r="AT39" s="156">
        <v>0</v>
      </c>
      <c r="AU39" s="156">
        <v>0</v>
      </c>
      <c r="AV39" s="156">
        <v>0.151072339262947</v>
      </c>
      <c r="AW39" s="156">
        <v>0</v>
      </c>
      <c r="AX39" s="156">
        <v>0</v>
      </c>
      <c r="AY39" s="156">
        <v>0</v>
      </c>
      <c r="AZ39" s="157">
        <v>1.0638587160320991</v>
      </c>
      <c r="BA39" s="156">
        <v>1.0634547975586326</v>
      </c>
      <c r="BB39" s="156">
        <v>0</v>
      </c>
      <c r="BC39" s="156">
        <v>0</v>
      </c>
      <c r="BD39" s="156">
        <v>0</v>
      </c>
      <c r="BE39" s="156">
        <v>0</v>
      </c>
      <c r="BF39" s="156">
        <v>8.928191973772083E-2</v>
      </c>
      <c r="BG39" s="156">
        <v>0</v>
      </c>
      <c r="BH39" s="156">
        <v>0</v>
      </c>
      <c r="BI39" s="156">
        <v>0</v>
      </c>
      <c r="BJ39" s="156">
        <v>0</v>
      </c>
      <c r="BK39" s="156">
        <v>0</v>
      </c>
    </row>
    <row r="40" spans="1:63" x14ac:dyDescent="0.3">
      <c r="A40" s="172">
        <v>2017</v>
      </c>
      <c r="B40" s="491" t="s">
        <v>1656</v>
      </c>
      <c r="C40" s="173">
        <v>43024</v>
      </c>
      <c r="D40" s="173" t="s">
        <v>14</v>
      </c>
      <c r="E40" s="173"/>
      <c r="F40" s="174" t="s">
        <v>723</v>
      </c>
      <c r="G40" s="174" t="s">
        <v>986</v>
      </c>
      <c r="H40" s="173" t="s">
        <v>74</v>
      </c>
      <c r="I40" s="156">
        <v>13.6</v>
      </c>
      <c r="J40" s="175"/>
      <c r="K40" s="175"/>
      <c r="L40" s="175"/>
      <c r="M40" s="155"/>
      <c r="N40" s="175"/>
      <c r="O40" s="175"/>
      <c r="P40" s="154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6"/>
      <c r="AB40" s="156"/>
      <c r="AC40" s="160"/>
      <c r="AD40" s="156"/>
      <c r="AE40" s="156"/>
      <c r="AF40" s="156"/>
      <c r="AG40" s="156"/>
      <c r="AH40" s="156"/>
      <c r="AI40" s="154">
        <v>0</v>
      </c>
      <c r="AJ40" s="156">
        <v>0</v>
      </c>
      <c r="AK40" s="156">
        <v>0</v>
      </c>
      <c r="AL40" s="156">
        <v>0</v>
      </c>
      <c r="AM40" s="156">
        <v>0.3446632074099219</v>
      </c>
      <c r="AN40" s="156">
        <v>1.346423548809466</v>
      </c>
      <c r="AO40" s="156">
        <v>0.27716909200105938</v>
      </c>
      <c r="AP40" s="156">
        <v>0.34080791426215995</v>
      </c>
      <c r="AQ40" s="156">
        <v>0</v>
      </c>
      <c r="AR40" s="156">
        <v>0</v>
      </c>
      <c r="AS40" s="156">
        <v>1.247378885602056</v>
      </c>
      <c r="AT40" s="156">
        <v>0</v>
      </c>
      <c r="AU40" s="156">
        <v>0</v>
      </c>
      <c r="AV40" s="156">
        <v>0</v>
      </c>
      <c r="AW40" s="156">
        <v>0</v>
      </c>
      <c r="AX40" s="156">
        <v>0</v>
      </c>
      <c r="AY40" s="156">
        <v>0</v>
      </c>
      <c r="AZ40" s="157">
        <v>3.4493913971194412</v>
      </c>
      <c r="BA40" s="156">
        <v>0</v>
      </c>
      <c r="BB40" s="156">
        <v>0</v>
      </c>
      <c r="BC40" s="156">
        <v>0</v>
      </c>
      <c r="BD40" s="156">
        <v>0</v>
      </c>
      <c r="BE40" s="156">
        <v>0.25239319140681826</v>
      </c>
      <c r="BF40" s="156">
        <v>8.4045390621211385E-2</v>
      </c>
      <c r="BG40" s="156">
        <v>0</v>
      </c>
      <c r="BH40" s="156">
        <v>0</v>
      </c>
      <c r="BI40" s="156">
        <v>0</v>
      </c>
      <c r="BJ40" s="156">
        <v>0</v>
      </c>
      <c r="BK40" s="156">
        <v>0</v>
      </c>
    </row>
    <row r="41" spans="1:63" x14ac:dyDescent="0.3">
      <c r="A41" s="172">
        <v>2017</v>
      </c>
      <c r="B41" s="491" t="s">
        <v>1656</v>
      </c>
      <c r="C41" s="173">
        <v>43024</v>
      </c>
      <c r="D41" s="173" t="s">
        <v>14</v>
      </c>
      <c r="E41" s="173" t="s">
        <v>181</v>
      </c>
      <c r="F41" s="174" t="s">
        <v>679</v>
      </c>
      <c r="G41" s="174" t="s">
        <v>984</v>
      </c>
      <c r="H41" s="173" t="s">
        <v>72</v>
      </c>
      <c r="I41" s="156">
        <v>10.6</v>
      </c>
      <c r="J41" s="175">
        <v>1.998</v>
      </c>
      <c r="K41" s="175"/>
      <c r="L41" s="175"/>
      <c r="M41" s="167">
        <v>0.57099999999999995</v>
      </c>
      <c r="N41" s="165">
        <v>0.15385132213755953</v>
      </c>
      <c r="O41" s="165">
        <v>1.5529999999999999</v>
      </c>
      <c r="P41" s="154">
        <v>1.0762608642857621</v>
      </c>
      <c r="Q41" s="156">
        <v>0.55671076516711238</v>
      </c>
      <c r="R41" s="156">
        <v>2.266453439190057</v>
      </c>
      <c r="S41" s="156">
        <v>3.4426708898622982</v>
      </c>
      <c r="T41" s="156">
        <v>5.5459234634019525</v>
      </c>
      <c r="U41" s="156">
        <v>12.303429421006769</v>
      </c>
      <c r="V41" s="156">
        <v>2.0677959476875425</v>
      </c>
      <c r="W41" s="156">
        <v>14.029210872639252</v>
      </c>
      <c r="X41" s="156">
        <v>9.5720023258613587</v>
      </c>
      <c r="Y41" s="156">
        <v>3.0513814988011951</v>
      </c>
      <c r="Z41" s="156">
        <v>3.984483590147804</v>
      </c>
      <c r="AA41" s="156">
        <v>16.471206665017931</v>
      </c>
      <c r="AB41" s="156">
        <v>13.482051896384831</v>
      </c>
      <c r="AC41" s="160">
        <v>29.56879819150215</v>
      </c>
      <c r="AD41" s="156">
        <v>1.2870494714639158</v>
      </c>
      <c r="AE41" s="156">
        <v>3.92704859681802</v>
      </c>
      <c r="AF41" s="156">
        <v>7.4801062016077662</v>
      </c>
      <c r="AG41" s="156">
        <v>6.6159105790844972</v>
      </c>
      <c r="AH41" s="156">
        <v>1.6642208530775973</v>
      </c>
      <c r="AI41" s="154">
        <v>0</v>
      </c>
      <c r="AJ41" s="156">
        <v>0</v>
      </c>
      <c r="AK41" s="156">
        <v>0</v>
      </c>
      <c r="AL41" s="156">
        <v>0</v>
      </c>
      <c r="AM41" s="156">
        <v>0.16835957227235798</v>
      </c>
      <c r="AN41" s="156">
        <v>0</v>
      </c>
      <c r="AO41" s="156">
        <v>0</v>
      </c>
      <c r="AP41" s="156">
        <v>0.3165975012625431</v>
      </c>
      <c r="AQ41" s="156">
        <v>0</v>
      </c>
      <c r="AR41" s="156">
        <v>0</v>
      </c>
      <c r="AS41" s="156">
        <v>0.32296510989614208</v>
      </c>
      <c r="AT41" s="156">
        <v>0</v>
      </c>
      <c r="AU41" s="156">
        <v>0</v>
      </c>
      <c r="AV41" s="156">
        <v>0</v>
      </c>
      <c r="AW41" s="156">
        <v>0</v>
      </c>
      <c r="AX41" s="156">
        <v>0</v>
      </c>
      <c r="AY41" s="156">
        <v>0</v>
      </c>
      <c r="AZ41" s="157">
        <v>1.5149814461058779</v>
      </c>
      <c r="BA41" s="156">
        <v>0</v>
      </c>
      <c r="BB41" s="156">
        <v>0</v>
      </c>
      <c r="BC41" s="156">
        <v>0</v>
      </c>
      <c r="BD41" s="156">
        <v>0</v>
      </c>
      <c r="BE41" s="156">
        <v>0.14849263333552906</v>
      </c>
      <c r="BF41" s="156">
        <v>0</v>
      </c>
      <c r="BG41" s="156">
        <v>0</v>
      </c>
      <c r="BH41" s="156">
        <v>0</v>
      </c>
      <c r="BI41" s="156">
        <v>0</v>
      </c>
      <c r="BJ41" s="156">
        <v>0</v>
      </c>
      <c r="BK41" s="156">
        <v>0</v>
      </c>
    </row>
    <row r="42" spans="1:63" x14ac:dyDescent="0.3">
      <c r="A42" s="172">
        <v>2017</v>
      </c>
      <c r="B42" s="491" t="s">
        <v>1656</v>
      </c>
      <c r="C42" s="173">
        <v>43024</v>
      </c>
      <c r="D42" s="173" t="s">
        <v>14</v>
      </c>
      <c r="E42" s="173" t="s">
        <v>181</v>
      </c>
      <c r="F42" s="174" t="s">
        <v>679</v>
      </c>
      <c r="G42" s="174" t="s">
        <v>984</v>
      </c>
      <c r="H42" s="173" t="s">
        <v>73</v>
      </c>
      <c r="I42" s="156">
        <v>10.7</v>
      </c>
      <c r="J42" s="175">
        <v>2.1139999999999999</v>
      </c>
      <c r="K42" s="175"/>
      <c r="L42" s="175"/>
      <c r="M42" s="167">
        <v>0.22</v>
      </c>
      <c r="N42" s="165">
        <v>9.2018345532000667E-2</v>
      </c>
      <c r="O42" s="165">
        <v>0.89500000000000002</v>
      </c>
      <c r="P42" s="154">
        <v>1.0790412281899673</v>
      </c>
      <c r="Q42" s="156">
        <v>0.49105909405505921</v>
      </c>
      <c r="R42" s="156">
        <v>2.4062845935266042</v>
      </c>
      <c r="S42" s="156">
        <v>3.5223590410032175</v>
      </c>
      <c r="T42" s="156">
        <v>5.6786317786538447</v>
      </c>
      <c r="U42" s="156">
        <v>13.12845118338514</v>
      </c>
      <c r="V42" s="156">
        <v>2.3352257283125866</v>
      </c>
      <c r="W42" s="156">
        <v>15.196254595176999</v>
      </c>
      <c r="X42" s="156">
        <v>10.349158889670726</v>
      </c>
      <c r="Y42" s="156">
        <v>3.3749487438461827</v>
      </c>
      <c r="Z42" s="156">
        <v>4.4912211873755714</v>
      </c>
      <c r="AA42" s="156">
        <v>18.669943161071707</v>
      </c>
      <c r="AB42" s="156">
        <v>14.570544256904093</v>
      </c>
      <c r="AC42" s="160">
        <v>32.398737747278425</v>
      </c>
      <c r="AD42" s="156">
        <v>1.3327087252174605</v>
      </c>
      <c r="AE42" s="156">
        <v>4.3207113365892162</v>
      </c>
      <c r="AF42" s="156">
        <v>8.3703559028662688</v>
      </c>
      <c r="AG42" s="156">
        <v>7.5384685132178788</v>
      </c>
      <c r="AH42" s="156">
        <v>1.878792800330449</v>
      </c>
      <c r="AI42" s="154">
        <v>0</v>
      </c>
      <c r="AJ42" s="156">
        <v>0</v>
      </c>
      <c r="AK42" s="156">
        <v>0</v>
      </c>
      <c r="AL42" s="156">
        <v>0</v>
      </c>
      <c r="AM42" s="156">
        <v>0.1816608996539793</v>
      </c>
      <c r="AN42" s="156">
        <v>0</v>
      </c>
      <c r="AO42" s="156">
        <v>0</v>
      </c>
      <c r="AP42" s="156">
        <v>0.42456747404844297</v>
      </c>
      <c r="AQ42" s="156">
        <v>0</v>
      </c>
      <c r="AR42" s="156">
        <v>0</v>
      </c>
      <c r="AS42" s="156">
        <v>0.32148212226066897</v>
      </c>
      <c r="AT42" s="156">
        <v>0</v>
      </c>
      <c r="AU42" s="156">
        <v>0</v>
      </c>
      <c r="AV42" s="156">
        <v>0</v>
      </c>
      <c r="AW42" s="156">
        <v>0</v>
      </c>
      <c r="AX42" s="156">
        <v>0</v>
      </c>
      <c r="AY42" s="156">
        <v>0</v>
      </c>
      <c r="AZ42" s="157">
        <v>1.4459342560553634</v>
      </c>
      <c r="BA42" s="156">
        <v>0</v>
      </c>
      <c r="BB42" s="156">
        <v>0</v>
      </c>
      <c r="BC42" s="156">
        <v>0</v>
      </c>
      <c r="BD42" s="156">
        <v>0</v>
      </c>
      <c r="BE42" s="156">
        <v>0.1567474048442907</v>
      </c>
      <c r="BF42" s="156">
        <v>0</v>
      </c>
      <c r="BG42" s="156">
        <v>0</v>
      </c>
      <c r="BH42" s="156">
        <v>0</v>
      </c>
      <c r="BI42" s="156">
        <v>0</v>
      </c>
      <c r="BJ42" s="156">
        <v>0</v>
      </c>
      <c r="BK42" s="156">
        <v>0</v>
      </c>
    </row>
    <row r="43" spans="1:63" x14ac:dyDescent="0.3">
      <c r="A43" s="172">
        <v>2017</v>
      </c>
      <c r="B43" s="491" t="s">
        <v>1656</v>
      </c>
      <c r="C43" s="173">
        <v>43024</v>
      </c>
      <c r="D43" s="173" t="s">
        <v>14</v>
      </c>
      <c r="E43" s="173" t="s">
        <v>181</v>
      </c>
      <c r="F43" s="174" t="s">
        <v>737</v>
      </c>
      <c r="G43" s="174" t="s">
        <v>980</v>
      </c>
      <c r="H43" s="173" t="s">
        <v>75</v>
      </c>
      <c r="I43" s="156">
        <v>22.2</v>
      </c>
      <c r="J43" s="175">
        <v>1.258</v>
      </c>
      <c r="K43" s="175"/>
      <c r="L43" s="175"/>
      <c r="M43" s="167">
        <v>4.9000000000000002E-2</v>
      </c>
      <c r="N43" s="176">
        <v>1.0999999999999999E-2</v>
      </c>
      <c r="O43" s="165">
        <v>0.129</v>
      </c>
      <c r="P43" s="154">
        <v>0.79709884330721004</v>
      </c>
      <c r="Q43" s="156">
        <v>0.55602757591573371</v>
      </c>
      <c r="R43" s="156">
        <v>2.4376994633575459</v>
      </c>
      <c r="S43" s="156">
        <v>3.351168109526999</v>
      </c>
      <c r="T43" s="156">
        <v>4.0811303172853393</v>
      </c>
      <c r="U43" s="156">
        <v>12.046359410690471</v>
      </c>
      <c r="V43" s="156">
        <v>1.6801177403640484</v>
      </c>
      <c r="W43" s="156">
        <v>12.770109077595482</v>
      </c>
      <c r="X43" s="156">
        <v>9.5542153556251836</v>
      </c>
      <c r="Y43" s="156">
        <v>2.8307508312223719</v>
      </c>
      <c r="Z43" s="156">
        <v>4.1031008328328493</v>
      </c>
      <c r="AA43" s="156">
        <v>18.09776273517047</v>
      </c>
      <c r="AB43" s="156">
        <v>15.622976406007929</v>
      </c>
      <c r="AC43" s="160">
        <v>34.514641724903143</v>
      </c>
      <c r="AD43" s="156">
        <v>1.4278845247123173</v>
      </c>
      <c r="AE43" s="156">
        <v>3.5990364722544363</v>
      </c>
      <c r="AF43" s="156">
        <v>9.143526880519298</v>
      </c>
      <c r="AG43" s="156">
        <v>9.8907980106064706</v>
      </c>
      <c r="AH43" s="156">
        <v>1.7486881907962122</v>
      </c>
      <c r="AI43" s="154">
        <v>0</v>
      </c>
      <c r="AJ43" s="156">
        <v>0</v>
      </c>
      <c r="AK43" s="156">
        <v>0</v>
      </c>
      <c r="AL43" s="156">
        <v>0</v>
      </c>
      <c r="AM43" s="156">
        <v>0.81311605723370439</v>
      </c>
      <c r="AN43" s="156">
        <v>1.7522771906854953</v>
      </c>
      <c r="AO43" s="156">
        <v>0.22834582652921756</v>
      </c>
      <c r="AP43" s="156">
        <v>0.48326007668568227</v>
      </c>
      <c r="AQ43" s="156">
        <v>0.15464322453941831</v>
      </c>
      <c r="AR43" s="156">
        <v>0</v>
      </c>
      <c r="AS43" s="156">
        <v>0.41665575610212291</v>
      </c>
      <c r="AT43" s="156">
        <v>0</v>
      </c>
      <c r="AU43" s="156">
        <v>0</v>
      </c>
      <c r="AV43" s="156">
        <v>0.13580847283269432</v>
      </c>
      <c r="AW43" s="156">
        <v>0</v>
      </c>
      <c r="AX43" s="156">
        <v>0</v>
      </c>
      <c r="AY43" s="156">
        <v>0</v>
      </c>
      <c r="AZ43" s="157">
        <v>15.95966052557748</v>
      </c>
      <c r="BA43" s="156">
        <v>0</v>
      </c>
      <c r="BB43" s="156">
        <v>0</v>
      </c>
      <c r="BC43" s="156">
        <v>0</v>
      </c>
      <c r="BD43" s="156">
        <v>0</v>
      </c>
      <c r="BE43" s="156">
        <v>5.2353174974282242</v>
      </c>
      <c r="BF43" s="156">
        <v>0.19553446179743758</v>
      </c>
      <c r="BG43" s="156">
        <v>0</v>
      </c>
      <c r="BH43" s="156">
        <v>0</v>
      </c>
      <c r="BI43" s="156">
        <v>0</v>
      </c>
      <c r="BJ43" s="156">
        <v>0</v>
      </c>
      <c r="BK43" s="156">
        <v>0</v>
      </c>
    </row>
    <row r="44" spans="1:63" x14ac:dyDescent="0.3">
      <c r="A44" s="172">
        <v>2017</v>
      </c>
      <c r="B44" s="491" t="s">
        <v>1656</v>
      </c>
      <c r="C44" s="173">
        <v>43024</v>
      </c>
      <c r="D44" s="173" t="s">
        <v>14</v>
      </c>
      <c r="E44" s="173" t="s">
        <v>143</v>
      </c>
      <c r="F44" s="174" t="s">
        <v>737</v>
      </c>
      <c r="G44" s="174" t="s">
        <v>980</v>
      </c>
      <c r="H44" s="173" t="s">
        <v>77</v>
      </c>
      <c r="I44" s="156">
        <v>20.7</v>
      </c>
      <c r="J44" s="175"/>
      <c r="K44" s="175"/>
      <c r="L44" s="175"/>
      <c r="M44" s="155"/>
      <c r="N44" s="175"/>
      <c r="O44" s="175"/>
      <c r="P44" s="154"/>
      <c r="Q44" s="156"/>
      <c r="R44" s="156"/>
      <c r="S44" s="156"/>
      <c r="T44" s="156"/>
      <c r="U44" s="156"/>
      <c r="V44" s="156"/>
      <c r="W44" s="156"/>
      <c r="X44" s="156"/>
      <c r="Y44" s="156"/>
      <c r="Z44" s="156"/>
      <c r="AA44" s="156"/>
      <c r="AB44" s="156"/>
      <c r="AC44" s="160"/>
      <c r="AD44" s="156"/>
      <c r="AE44" s="156"/>
      <c r="AF44" s="156"/>
      <c r="AG44" s="156"/>
      <c r="AH44" s="156"/>
      <c r="AI44" s="154">
        <v>0</v>
      </c>
      <c r="AJ44" s="156">
        <v>0</v>
      </c>
      <c r="AK44" s="156">
        <v>0</v>
      </c>
      <c r="AL44" s="156">
        <v>0</v>
      </c>
      <c r="AM44" s="156">
        <v>0.68152411649591338</v>
      </c>
      <c r="AN44" s="156">
        <v>1.7777921031426267</v>
      </c>
      <c r="AO44" s="156">
        <v>0.21384154926459517</v>
      </c>
      <c r="AP44" s="156">
        <v>0.51284908483941527</v>
      </c>
      <c r="AQ44" s="156">
        <v>0.10568435593415448</v>
      </c>
      <c r="AR44" s="156">
        <v>0</v>
      </c>
      <c r="AS44" s="156">
        <v>0.31605847818579486</v>
      </c>
      <c r="AT44" s="156">
        <v>0</v>
      </c>
      <c r="AU44" s="156">
        <v>0</v>
      </c>
      <c r="AV44" s="156">
        <v>0</v>
      </c>
      <c r="AW44" s="156">
        <v>0</v>
      </c>
      <c r="AX44" s="156">
        <v>0</v>
      </c>
      <c r="AY44" s="156">
        <v>0</v>
      </c>
      <c r="AZ44" s="157">
        <v>13.511499942442732</v>
      </c>
      <c r="BA44" s="156">
        <v>0</v>
      </c>
      <c r="BB44" s="156">
        <v>0</v>
      </c>
      <c r="BC44" s="156">
        <v>0</v>
      </c>
      <c r="BD44" s="156">
        <v>0</v>
      </c>
      <c r="BE44" s="156">
        <v>4.6478369978128224</v>
      </c>
      <c r="BF44" s="156">
        <v>0.16587544606883847</v>
      </c>
      <c r="BG44" s="156">
        <v>0.32615172096235756</v>
      </c>
      <c r="BH44" s="156">
        <v>0</v>
      </c>
      <c r="BI44" s="156">
        <v>0</v>
      </c>
      <c r="BJ44" s="156">
        <v>0</v>
      </c>
      <c r="BK44" s="156">
        <v>0</v>
      </c>
    </row>
    <row r="45" spans="1:63" x14ac:dyDescent="0.3">
      <c r="A45" s="172">
        <v>2017</v>
      </c>
      <c r="B45" s="491" t="s">
        <v>1656</v>
      </c>
      <c r="C45" s="173">
        <v>43024</v>
      </c>
      <c r="D45" s="173" t="s">
        <v>14</v>
      </c>
      <c r="E45" s="173" t="s">
        <v>143</v>
      </c>
      <c r="F45" s="174" t="s">
        <v>737</v>
      </c>
      <c r="G45" s="174" t="s">
        <v>980</v>
      </c>
      <c r="H45" s="173" t="s">
        <v>76</v>
      </c>
      <c r="I45" s="156">
        <v>23.3</v>
      </c>
      <c r="J45" s="175"/>
      <c r="K45" s="175"/>
      <c r="L45" s="175"/>
      <c r="M45" s="155"/>
      <c r="N45" s="175"/>
      <c r="O45" s="175"/>
      <c r="P45" s="154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6"/>
      <c r="AB45" s="156"/>
      <c r="AC45" s="160"/>
      <c r="AD45" s="156"/>
      <c r="AE45" s="156"/>
      <c r="AF45" s="156"/>
      <c r="AG45" s="156"/>
      <c r="AH45" s="156"/>
      <c r="AI45" s="154">
        <v>0</v>
      </c>
      <c r="AJ45" s="156">
        <v>0</v>
      </c>
      <c r="AK45" s="156">
        <v>0</v>
      </c>
      <c r="AL45" s="156">
        <v>0</v>
      </c>
      <c r="AM45" s="156">
        <v>0.91845413627192307</v>
      </c>
      <c r="AN45" s="156">
        <v>2.2156493204141823</v>
      </c>
      <c r="AO45" s="156">
        <v>0.3055588056208885</v>
      </c>
      <c r="AP45" s="156">
        <v>0.55849759428837498</v>
      </c>
      <c r="AQ45" s="156">
        <v>0</v>
      </c>
      <c r="AR45" s="156">
        <v>1.2138444823839827</v>
      </c>
      <c r="AS45" s="156">
        <v>0.44769739030176725</v>
      </c>
      <c r="AT45" s="156">
        <v>0</v>
      </c>
      <c r="AU45" s="156">
        <v>0</v>
      </c>
      <c r="AV45" s="156">
        <v>0.12267577215582803</v>
      </c>
      <c r="AW45" s="156">
        <v>0</v>
      </c>
      <c r="AX45" s="156">
        <v>0</v>
      </c>
      <c r="AY45" s="156">
        <v>0</v>
      </c>
      <c r="AZ45" s="157">
        <v>18.592190860513071</v>
      </c>
      <c r="BA45" s="156">
        <v>0</v>
      </c>
      <c r="BB45" s="156">
        <v>0</v>
      </c>
      <c r="BC45" s="156">
        <v>0</v>
      </c>
      <c r="BD45" s="156">
        <v>0</v>
      </c>
      <c r="BE45" s="156">
        <v>5.8439325070397556</v>
      </c>
      <c r="BF45" s="156">
        <v>0.21260725926254412</v>
      </c>
      <c r="BG45" s="156">
        <v>0.3576506064167092</v>
      </c>
      <c r="BH45" s="156">
        <v>0</v>
      </c>
      <c r="BI45" s="156">
        <v>0.53942928094720743</v>
      </c>
      <c r="BJ45" s="156">
        <v>0</v>
      </c>
      <c r="BK45" s="156">
        <v>0</v>
      </c>
    </row>
    <row r="46" spans="1:63" x14ac:dyDescent="0.3">
      <c r="A46" s="172">
        <v>2017</v>
      </c>
      <c r="B46" s="491" t="s">
        <v>1656</v>
      </c>
      <c r="C46" s="173">
        <v>43024</v>
      </c>
      <c r="D46" s="173" t="s">
        <v>14</v>
      </c>
      <c r="E46" s="173" t="s">
        <v>181</v>
      </c>
      <c r="F46" s="174" t="s">
        <v>988</v>
      </c>
      <c r="G46" s="174"/>
      <c r="H46" s="173" t="s">
        <v>80</v>
      </c>
      <c r="I46" s="156">
        <v>14.1</v>
      </c>
      <c r="J46" s="175">
        <v>1.784</v>
      </c>
      <c r="K46" s="175"/>
      <c r="L46" s="175"/>
      <c r="M46" s="155"/>
      <c r="N46" s="175"/>
      <c r="O46" s="175"/>
      <c r="P46" s="154">
        <v>1.5413228413017146</v>
      </c>
      <c r="Q46" s="156">
        <v>0.76718287880464386</v>
      </c>
      <c r="R46" s="156">
        <v>3.3548345661630439</v>
      </c>
      <c r="S46" s="156">
        <v>6.0430637595600221</v>
      </c>
      <c r="T46" s="156">
        <v>8.8107760708252592</v>
      </c>
      <c r="U46" s="156">
        <v>17.878948101628986</v>
      </c>
      <c r="V46" s="156">
        <v>2.371911152970902</v>
      </c>
      <c r="W46" s="156">
        <v>12.194051920325315</v>
      </c>
      <c r="X46" s="156">
        <v>11.304367456046993</v>
      </c>
      <c r="Y46" s="156">
        <v>4.8335074189437854</v>
      </c>
      <c r="Z46" s="156">
        <v>5.0537570493212751</v>
      </c>
      <c r="AA46" s="156">
        <v>25.245130667775307</v>
      </c>
      <c r="AB46" s="156">
        <v>17.932952423786229</v>
      </c>
      <c r="AC46" s="160">
        <v>43.303001994541972</v>
      </c>
      <c r="AD46" s="156">
        <v>0.94080634981645661</v>
      </c>
      <c r="AE46" s="156">
        <v>5.4369741298827083</v>
      </c>
      <c r="AF46" s="156">
        <v>10.884216669532774</v>
      </c>
      <c r="AG46" s="156">
        <v>9.121932185771005</v>
      </c>
      <c r="AH46" s="156">
        <v>2.5296795929688836</v>
      </c>
      <c r="AI46" s="154">
        <v>5.2371189549362702</v>
      </c>
      <c r="AJ46" s="156">
        <v>0</v>
      </c>
      <c r="AK46" s="156">
        <v>1.6370534320819501</v>
      </c>
      <c r="AL46" s="156">
        <v>4.8360504680756655</v>
      </c>
      <c r="AM46" s="156">
        <v>3.0139893873613119</v>
      </c>
      <c r="AN46" s="156">
        <v>6.8173547856190231</v>
      </c>
      <c r="AO46" s="156">
        <v>1.7588663117478984</v>
      </c>
      <c r="AP46" s="156">
        <v>1.6266678017082374</v>
      </c>
      <c r="AQ46" s="156">
        <v>0.20670809568400442</v>
      </c>
      <c r="AR46" s="156">
        <v>2.4470531483215567</v>
      </c>
      <c r="AS46" s="156">
        <v>0.62334212990550775</v>
      </c>
      <c r="AT46" s="156">
        <v>0</v>
      </c>
      <c r="AU46" s="156">
        <v>0</v>
      </c>
      <c r="AV46" s="156">
        <v>0.24700207145086689</v>
      </c>
      <c r="AW46" s="156">
        <v>0</v>
      </c>
      <c r="AX46" s="156">
        <v>2.5082999914871884</v>
      </c>
      <c r="AY46" s="156">
        <v>0</v>
      </c>
      <c r="AZ46" s="157">
        <v>25.277063647456085</v>
      </c>
      <c r="BA46" s="156">
        <v>4.4353168184784773</v>
      </c>
      <c r="BB46" s="156">
        <v>0</v>
      </c>
      <c r="BC46" s="156">
        <v>0</v>
      </c>
      <c r="BD46" s="156">
        <v>0</v>
      </c>
      <c r="BE46" s="156">
        <v>18.646843165630941</v>
      </c>
      <c r="BF46" s="156">
        <v>2.0195340654351464</v>
      </c>
      <c r="BG46" s="156">
        <v>0.23370505944780226</v>
      </c>
      <c r="BH46" s="156">
        <v>0</v>
      </c>
      <c r="BI46" s="156">
        <v>2.2350784597485882</v>
      </c>
      <c r="BJ46" s="156">
        <v>0</v>
      </c>
      <c r="BK46" s="156">
        <v>0</v>
      </c>
    </row>
    <row r="47" spans="1:63" x14ac:dyDescent="0.3">
      <c r="A47" s="172">
        <v>2017</v>
      </c>
      <c r="B47" s="491" t="s">
        <v>1656</v>
      </c>
      <c r="C47" s="173">
        <v>43024</v>
      </c>
      <c r="D47" s="173" t="s">
        <v>14</v>
      </c>
      <c r="E47" s="173" t="s">
        <v>181</v>
      </c>
      <c r="F47" s="174" t="s">
        <v>754</v>
      </c>
      <c r="G47" s="174"/>
      <c r="H47" s="173" t="s">
        <v>79</v>
      </c>
      <c r="I47" s="156">
        <v>16.2</v>
      </c>
      <c r="J47" s="175">
        <v>1.3340000000000001</v>
      </c>
      <c r="K47" s="175"/>
      <c r="L47" s="175"/>
      <c r="M47" s="155"/>
      <c r="N47" s="175"/>
      <c r="O47" s="175"/>
      <c r="P47" s="154">
        <v>0.72499088384088961</v>
      </c>
      <c r="Q47" s="156">
        <v>0.1400484497945369</v>
      </c>
      <c r="R47" s="156">
        <v>2.9334620714188491</v>
      </c>
      <c r="S47" s="156">
        <v>3.6429642325634188</v>
      </c>
      <c r="T47" s="156">
        <v>4.69827913362281</v>
      </c>
      <c r="U47" s="156">
        <v>13.425731641149861</v>
      </c>
      <c r="V47" s="156">
        <v>3.677305057675627</v>
      </c>
      <c r="W47" s="156">
        <v>14.003321184487941</v>
      </c>
      <c r="X47" s="156">
        <v>13.749179785015109</v>
      </c>
      <c r="Y47" s="156">
        <v>3.6348092675745369</v>
      </c>
      <c r="Z47" s="156">
        <v>4.0654982789130525</v>
      </c>
      <c r="AA47" s="156">
        <v>16.695339856761912</v>
      </c>
      <c r="AB47" s="156">
        <v>12.59283340114537</v>
      </c>
      <c r="AC47" s="160">
        <v>24.298772368445583</v>
      </c>
      <c r="AD47" s="156">
        <v>2.4059263343585116</v>
      </c>
      <c r="AE47" s="156">
        <v>4.7588541813472967</v>
      </c>
      <c r="AF47" s="156">
        <v>8.905295057561549</v>
      </c>
      <c r="AG47" s="156">
        <v>8.5762439044167316</v>
      </c>
      <c r="AH47" s="156">
        <v>2.5824617667601637</v>
      </c>
      <c r="AI47" s="154">
        <v>0</v>
      </c>
      <c r="AJ47" s="156">
        <v>0</v>
      </c>
      <c r="AK47" s="156">
        <v>0</v>
      </c>
      <c r="AL47" s="156">
        <v>3.4502909397738231</v>
      </c>
      <c r="AM47" s="156">
        <v>1.1681533269045323</v>
      </c>
      <c r="AN47" s="156">
        <v>2.6052555448408872</v>
      </c>
      <c r="AO47" s="156">
        <v>0.74767380943550166</v>
      </c>
      <c r="AP47" s="156">
        <v>2.1924421407907424</v>
      </c>
      <c r="AQ47" s="156">
        <v>0.48927193828351018</v>
      </c>
      <c r="AR47" s="156">
        <v>0</v>
      </c>
      <c r="AS47" s="156">
        <v>1.9365718418514946</v>
      </c>
      <c r="AT47" s="156">
        <v>0</v>
      </c>
      <c r="AU47" s="156">
        <v>0</v>
      </c>
      <c r="AV47" s="156">
        <v>0.17336668273866923</v>
      </c>
      <c r="AW47" s="156">
        <v>0</v>
      </c>
      <c r="AX47" s="156">
        <v>0</v>
      </c>
      <c r="AY47" s="156">
        <v>0</v>
      </c>
      <c r="AZ47" s="157">
        <v>12.105948649951785</v>
      </c>
      <c r="BA47" s="156">
        <v>0</v>
      </c>
      <c r="BB47" s="156">
        <v>0.31988307618129219</v>
      </c>
      <c r="BC47" s="156">
        <v>0</v>
      </c>
      <c r="BD47" s="156">
        <v>0</v>
      </c>
      <c r="BE47" s="156">
        <v>1.8301289778206367</v>
      </c>
      <c r="BF47" s="156">
        <v>7.6904532304725159E-2</v>
      </c>
      <c r="BG47" s="156">
        <v>0.90395973963355825</v>
      </c>
      <c r="BH47" s="156">
        <v>0</v>
      </c>
      <c r="BI47" s="156">
        <v>0</v>
      </c>
      <c r="BJ47" s="156">
        <v>0</v>
      </c>
      <c r="BK47" s="156">
        <v>0</v>
      </c>
    </row>
    <row r="48" spans="1:63" x14ac:dyDescent="0.3">
      <c r="A48" s="172">
        <v>2017</v>
      </c>
      <c r="B48" s="491" t="s">
        <v>1656</v>
      </c>
      <c r="C48" s="173">
        <v>43020</v>
      </c>
      <c r="D48" s="173" t="s">
        <v>14</v>
      </c>
      <c r="E48" s="173" t="s">
        <v>143</v>
      </c>
      <c r="F48" s="174" t="s">
        <v>717</v>
      </c>
      <c r="G48" s="174"/>
      <c r="H48" s="173" t="s">
        <v>82</v>
      </c>
      <c r="I48" s="156">
        <v>18.5</v>
      </c>
      <c r="J48" s="175">
        <v>4.49</v>
      </c>
      <c r="K48" s="175"/>
      <c r="L48" s="175"/>
      <c r="M48" s="178">
        <v>1.4E-2</v>
      </c>
      <c r="N48" s="176">
        <v>1.4E-2</v>
      </c>
      <c r="O48" s="477"/>
      <c r="P48" s="154">
        <v>0.96</v>
      </c>
      <c r="Q48" s="156">
        <v>0.25518486611896996</v>
      </c>
      <c r="R48" s="156">
        <v>0.69</v>
      </c>
      <c r="S48" s="156">
        <v>2.21</v>
      </c>
      <c r="T48" s="156">
        <v>4.6100000000000003</v>
      </c>
      <c r="U48" s="156">
        <v>2.73</v>
      </c>
      <c r="V48" s="156">
        <v>0.65</v>
      </c>
      <c r="W48" s="156">
        <v>1.0690836339879037</v>
      </c>
      <c r="X48" s="156">
        <v>5.5</v>
      </c>
      <c r="Y48" s="156">
        <v>0.15531358430164593</v>
      </c>
      <c r="Z48" s="156">
        <v>0.27034612183112794</v>
      </c>
      <c r="AA48" s="156">
        <v>6.84</v>
      </c>
      <c r="AB48" s="156">
        <v>1.287367984708232</v>
      </c>
      <c r="AC48" s="160">
        <v>6.52</v>
      </c>
      <c r="AD48" s="156">
        <v>1.5496989558478704</v>
      </c>
      <c r="AE48" s="156">
        <v>1.55</v>
      </c>
      <c r="AF48" s="156">
        <v>1.96</v>
      </c>
      <c r="AG48" s="156">
        <v>1.84</v>
      </c>
      <c r="AH48" s="156">
        <v>0.74</v>
      </c>
      <c r="AI48" s="154">
        <v>0</v>
      </c>
      <c r="AJ48" s="156">
        <v>0</v>
      </c>
      <c r="AK48" s="156">
        <v>0</v>
      </c>
      <c r="AL48" s="156">
        <v>0</v>
      </c>
      <c r="AM48" s="156">
        <v>0.34957466775648594</v>
      </c>
      <c r="AN48" s="156">
        <v>0</v>
      </c>
      <c r="AO48" s="156">
        <v>0</v>
      </c>
      <c r="AP48" s="156">
        <v>0.33432476614294793</v>
      </c>
      <c r="AQ48" s="156">
        <v>0.32212484485211756</v>
      </c>
      <c r="AR48" s="156">
        <v>0.59263463808918349</v>
      </c>
      <c r="AS48" s="156">
        <v>4.4291641513566651</v>
      </c>
      <c r="AT48" s="156">
        <v>0</v>
      </c>
      <c r="AU48" s="156">
        <v>0.27191747646293102</v>
      </c>
      <c r="AV48" s="156">
        <v>0.61726909454182188</v>
      </c>
      <c r="AW48" s="156">
        <v>0</v>
      </c>
      <c r="AX48" s="156">
        <v>0</v>
      </c>
      <c r="AY48" s="156">
        <v>0</v>
      </c>
      <c r="AZ48" s="157">
        <v>2.4497323532082893</v>
      </c>
      <c r="BA48" s="156">
        <v>0</v>
      </c>
      <c r="BB48" s="156">
        <v>0</v>
      </c>
      <c r="BC48" s="156">
        <v>0</v>
      </c>
      <c r="BD48" s="156">
        <v>0</v>
      </c>
      <c r="BE48" s="156">
        <v>1.1151197287560926</v>
      </c>
      <c r="BF48" s="156">
        <v>0</v>
      </c>
      <c r="BG48" s="156">
        <v>0</v>
      </c>
      <c r="BH48" s="156">
        <v>0</v>
      </c>
      <c r="BI48" s="156">
        <v>0</v>
      </c>
      <c r="BJ48" s="156">
        <v>0</v>
      </c>
      <c r="BK48" s="156">
        <v>0</v>
      </c>
    </row>
    <row r="49" spans="1:63" x14ac:dyDescent="0.3">
      <c r="A49" s="172">
        <v>2017</v>
      </c>
      <c r="B49" s="491" t="s">
        <v>1656</v>
      </c>
      <c r="C49" s="173">
        <v>43024</v>
      </c>
      <c r="D49" s="173" t="s">
        <v>14</v>
      </c>
      <c r="E49" s="173"/>
      <c r="F49" s="174" t="s">
        <v>679</v>
      </c>
      <c r="G49" s="174" t="s">
        <v>984</v>
      </c>
      <c r="H49" s="173" t="s">
        <v>71</v>
      </c>
      <c r="I49" s="156">
        <v>10.1</v>
      </c>
      <c r="J49" s="175"/>
      <c r="K49" s="175"/>
      <c r="L49" s="175"/>
      <c r="M49" s="155"/>
      <c r="N49" s="175"/>
      <c r="O49" s="175"/>
      <c r="P49" s="154"/>
      <c r="Q49" s="156"/>
      <c r="R49" s="15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60"/>
      <c r="AD49" s="156"/>
      <c r="AE49" s="156"/>
      <c r="AF49" s="156"/>
      <c r="AG49" s="156"/>
      <c r="AH49" s="156"/>
      <c r="AI49" s="154">
        <v>0</v>
      </c>
      <c r="AJ49" s="156">
        <v>0</v>
      </c>
      <c r="AK49" s="156">
        <v>0</v>
      </c>
      <c r="AL49" s="156">
        <v>0</v>
      </c>
      <c r="AM49" s="156">
        <v>0.1975587166638961</v>
      </c>
      <c r="AN49" s="156">
        <v>0</v>
      </c>
      <c r="AO49" s="156">
        <v>0</v>
      </c>
      <c r="AP49" s="156">
        <v>0.45872853784226658</v>
      </c>
      <c r="AQ49" s="156">
        <v>0</v>
      </c>
      <c r="AR49" s="156">
        <v>0</v>
      </c>
      <c r="AS49" s="156">
        <v>0.39249091643116674</v>
      </c>
      <c r="AT49" s="156">
        <v>0</v>
      </c>
      <c r="AU49" s="156">
        <v>0</v>
      </c>
      <c r="AV49" s="156">
        <v>0</v>
      </c>
      <c r="AW49" s="156">
        <v>0</v>
      </c>
      <c r="AX49" s="156">
        <v>0</v>
      </c>
      <c r="AY49" s="156">
        <v>0</v>
      </c>
      <c r="AZ49" s="157">
        <v>1.5812534137595291</v>
      </c>
      <c r="BA49" s="156">
        <v>0</v>
      </c>
      <c r="BB49" s="156">
        <v>0</v>
      </c>
      <c r="BC49" s="156">
        <v>0</v>
      </c>
      <c r="BD49" s="156">
        <v>0</v>
      </c>
      <c r="BE49" s="156">
        <v>0.16365147593151108</v>
      </c>
      <c r="BF49" s="156">
        <v>0</v>
      </c>
      <c r="BG49" s="156">
        <v>0</v>
      </c>
      <c r="BH49" s="156">
        <v>0</v>
      </c>
      <c r="BI49" s="156">
        <v>0</v>
      </c>
      <c r="BJ49" s="156">
        <v>0</v>
      </c>
      <c r="BK49" s="156">
        <v>0</v>
      </c>
    </row>
    <row r="50" spans="1:63" x14ac:dyDescent="0.3">
      <c r="A50" s="172">
        <v>2017</v>
      </c>
      <c r="B50" s="491" t="s">
        <v>1656</v>
      </c>
      <c r="C50" s="173">
        <v>43024</v>
      </c>
      <c r="D50" s="173" t="s">
        <v>14</v>
      </c>
      <c r="E50" s="173" t="s">
        <v>181</v>
      </c>
      <c r="F50" s="174" t="s">
        <v>989</v>
      </c>
      <c r="G50" s="174" t="s">
        <v>987</v>
      </c>
      <c r="H50" s="173" t="s">
        <v>69</v>
      </c>
      <c r="I50" s="156">
        <v>12.9</v>
      </c>
      <c r="J50" s="175">
        <v>2.3380000000000001</v>
      </c>
      <c r="K50" s="175"/>
      <c r="L50" s="175"/>
      <c r="M50" s="167">
        <v>0.628</v>
      </c>
      <c r="N50" s="165">
        <v>9.4E-2</v>
      </c>
      <c r="O50" s="165">
        <v>0.995</v>
      </c>
      <c r="P50" s="154">
        <v>3.8181844069623336</v>
      </c>
      <c r="Q50" s="156">
        <v>2.119695361142877</v>
      </c>
      <c r="R50" s="156">
        <v>8.7251253772705137</v>
      </c>
      <c r="S50" s="156">
        <v>23.301920976922961</v>
      </c>
      <c r="T50" s="156">
        <v>19.110336469292065</v>
      </c>
      <c r="U50" s="156">
        <v>116.81010478397062</v>
      </c>
      <c r="V50" s="156">
        <v>13.514651131743697</v>
      </c>
      <c r="W50" s="156">
        <v>111.29977340000347</v>
      </c>
      <c r="X50" s="156">
        <v>76.229236867153787</v>
      </c>
      <c r="Y50" s="156">
        <v>19.690443064221412</v>
      </c>
      <c r="Z50" s="156">
        <v>31.517168611473174</v>
      </c>
      <c r="AA50" s="156">
        <v>133.38061191691295</v>
      </c>
      <c r="AB50" s="156">
        <v>115.47160848638057</v>
      </c>
      <c r="AC50" s="160">
        <v>230.23835295923359</v>
      </c>
      <c r="AD50" s="156">
        <v>7.0432079556473015</v>
      </c>
      <c r="AE50" s="156">
        <v>19.182533710505911</v>
      </c>
      <c r="AF50" s="156">
        <v>39.456765671362461</v>
      </c>
      <c r="AG50" s="156">
        <v>52.645501510978271</v>
      </c>
      <c r="AH50" s="156">
        <v>6.6639730162370885</v>
      </c>
      <c r="AI50" s="154">
        <v>0</v>
      </c>
      <c r="AJ50" s="156">
        <v>0</v>
      </c>
      <c r="AK50" s="156">
        <v>0</v>
      </c>
      <c r="AL50" s="156">
        <v>0</v>
      </c>
      <c r="AM50" s="156">
        <v>0.30215792174784334</v>
      </c>
      <c r="AN50" s="156">
        <v>0.61381754197316662</v>
      </c>
      <c r="AO50" s="156">
        <v>0</v>
      </c>
      <c r="AP50" s="156">
        <v>0.47232337056135293</v>
      </c>
      <c r="AQ50" s="156">
        <v>0</v>
      </c>
      <c r="AR50" s="156">
        <v>0</v>
      </c>
      <c r="AS50" s="156">
        <v>0.69816466678071309</v>
      </c>
      <c r="AT50" s="156">
        <v>0</v>
      </c>
      <c r="AU50" s="156">
        <v>0</v>
      </c>
      <c r="AV50" s="156">
        <v>0</v>
      </c>
      <c r="AW50" s="156">
        <v>0</v>
      </c>
      <c r="AX50" s="156">
        <v>0</v>
      </c>
      <c r="AY50" s="156">
        <v>0</v>
      </c>
      <c r="AZ50" s="157">
        <v>2.1426183435567827</v>
      </c>
      <c r="BA50" s="156">
        <v>0</v>
      </c>
      <c r="BB50" s="156">
        <v>0</v>
      </c>
      <c r="BC50" s="156">
        <v>0</v>
      </c>
      <c r="BD50" s="156">
        <v>0</v>
      </c>
      <c r="BE50" s="156">
        <v>0.91722671619541052</v>
      </c>
      <c r="BF50" s="156">
        <v>0</v>
      </c>
      <c r="BG50" s="156">
        <v>0</v>
      </c>
      <c r="BH50" s="156">
        <v>0</v>
      </c>
      <c r="BI50" s="156">
        <v>0</v>
      </c>
      <c r="BJ50" s="156">
        <v>0</v>
      </c>
      <c r="BK50" s="156">
        <v>0</v>
      </c>
    </row>
    <row r="51" spans="1:63" x14ac:dyDescent="0.3">
      <c r="A51" s="172">
        <v>2017</v>
      </c>
      <c r="B51" s="491" t="s">
        <v>1656</v>
      </c>
      <c r="C51" s="173">
        <v>43024</v>
      </c>
      <c r="D51" s="173" t="s">
        <v>14</v>
      </c>
      <c r="E51" s="173" t="s">
        <v>181</v>
      </c>
      <c r="F51" s="174" t="s">
        <v>989</v>
      </c>
      <c r="G51" s="174" t="s">
        <v>980</v>
      </c>
      <c r="H51" s="173" t="s">
        <v>182</v>
      </c>
      <c r="I51" s="156"/>
      <c r="J51" s="175">
        <v>2.6579999999999999</v>
      </c>
      <c r="K51" s="175"/>
      <c r="L51" s="175"/>
      <c r="M51" s="155"/>
      <c r="N51" s="175"/>
      <c r="O51" s="175"/>
      <c r="P51" s="154">
        <v>3.5737638597027446</v>
      </c>
      <c r="Q51" s="156">
        <v>1.5066675242060712</v>
      </c>
      <c r="R51" s="156">
        <v>9.0266156931075656</v>
      </c>
      <c r="S51" s="156">
        <v>23.423290630565777</v>
      </c>
      <c r="T51" s="156">
        <v>20.073479374322599</v>
      </c>
      <c r="U51" s="156">
        <v>116.64559752604728</v>
      </c>
      <c r="V51" s="156">
        <v>13.481832864666382</v>
      </c>
      <c r="W51" s="156">
        <v>112.1754664834186</v>
      </c>
      <c r="X51" s="156">
        <v>76.877928929026965</v>
      </c>
      <c r="Y51" s="156">
        <v>20.181459305609824</v>
      </c>
      <c r="Z51" s="156">
        <v>31.734497208051373</v>
      </c>
      <c r="AA51" s="156">
        <v>129.39070447109549</v>
      </c>
      <c r="AB51" s="156">
        <v>117.30243686918408</v>
      </c>
      <c r="AC51" s="160">
        <v>231.42446420658413</v>
      </c>
      <c r="AD51" s="156">
        <v>6.9324927946911918</v>
      </c>
      <c r="AE51" s="156">
        <v>19.684221151834357</v>
      </c>
      <c r="AF51" s="156">
        <v>39.205024563905148</v>
      </c>
      <c r="AG51" s="156">
        <v>53.530620056061849</v>
      </c>
      <c r="AH51" s="156">
        <v>6.536316800509085</v>
      </c>
      <c r="AI51" s="154"/>
      <c r="AJ51" s="156"/>
      <c r="AK51" s="156"/>
      <c r="AL51" s="156"/>
      <c r="AM51" s="156"/>
      <c r="AN51" s="156"/>
      <c r="AO51" s="156"/>
      <c r="AP51" s="156"/>
      <c r="AQ51" s="156"/>
      <c r="AR51" s="156"/>
      <c r="AS51" s="156"/>
      <c r="AT51" s="156"/>
      <c r="AU51" s="156"/>
      <c r="AV51" s="156"/>
      <c r="AW51" s="156"/>
      <c r="AX51" s="156"/>
      <c r="AY51" s="156"/>
      <c r="AZ51" s="157"/>
      <c r="BA51" s="156"/>
      <c r="BB51" s="156"/>
      <c r="BC51" s="156"/>
      <c r="BD51" s="156"/>
      <c r="BE51" s="156"/>
      <c r="BF51" s="156"/>
      <c r="BG51" s="156"/>
      <c r="BH51" s="156"/>
      <c r="BI51" s="156"/>
      <c r="BJ51" s="156"/>
      <c r="BK51" s="156"/>
    </row>
  </sheetData>
  <autoFilter ref="A1:BK51" xr:uid="{00000000-0009-0000-0000-000005000000}"/>
  <sortState xmlns:xlrd2="http://schemas.microsoft.com/office/spreadsheetml/2017/richdata2" ref="A2:BK51">
    <sortCondition ref="B2:B51"/>
    <sortCondition ref="D2:D51"/>
    <sortCondition ref="H2:H51"/>
  </sortState>
  <conditionalFormatting sqref="D8:D13">
    <cfRule type="cellIs" dxfId="11" priority="3" operator="equal">
      <formula>0</formula>
    </cfRule>
    <cfRule type="containsBlanks" dxfId="10" priority="4">
      <formula>LEN(TRIM(D8))=0</formula>
    </cfRule>
  </conditionalFormatting>
  <conditionalFormatting sqref="D32:D38">
    <cfRule type="cellIs" dxfId="9" priority="1" operator="equal">
      <formula>0</formula>
    </cfRule>
    <cfRule type="containsBlanks" dxfId="8" priority="2">
      <formula>LEN(TRIM(D32))=0</formula>
    </cfRule>
  </conditionalFormatting>
  <pageMargins left="0.7" right="0.7" top="0.75" bottom="0.75" header="0.3" footer="0.3"/>
  <pageSetup paperSize="9" orientation="portrait" verticalDpi="4294967295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42"/>
  <sheetViews>
    <sheetView zoomScale="70" zoomScaleNormal="70" workbookViewId="0">
      <selection activeCell="K1" sqref="K1"/>
    </sheetView>
  </sheetViews>
  <sheetFormatPr baseColWidth="10" defaultColWidth="11.44140625" defaultRowHeight="14.4" x14ac:dyDescent="0.3"/>
  <cols>
    <col min="1" max="1" width="5.5546875" style="63" bestFit="1" customWidth="1"/>
    <col min="2" max="2" width="11.5546875" style="382" bestFit="1" customWidth="1"/>
    <col min="3" max="3" width="7.77734375" style="382" bestFit="1" customWidth="1"/>
    <col min="4" max="4" width="11.88671875" style="63" bestFit="1" customWidth="1"/>
    <col min="5" max="5" width="13.33203125" style="63" bestFit="1" customWidth="1"/>
    <col min="6" max="6" width="5.5546875" style="63" bestFit="1" customWidth="1"/>
    <col min="7" max="7" width="7.44140625" style="63" bestFit="1" customWidth="1"/>
    <col min="8" max="8" width="13.109375" style="63" bestFit="1" customWidth="1"/>
    <col min="9" max="9" width="21.21875" style="63" bestFit="1" customWidth="1"/>
    <col min="10" max="10" width="5.6640625" style="63" customWidth="1"/>
    <col min="11" max="11" width="17.88671875" style="66" customWidth="1"/>
    <col min="12" max="12" width="22.109375" style="23" customWidth="1"/>
    <col min="13" max="13" width="17.88671875" style="66" customWidth="1"/>
    <col min="14" max="14" width="17.6640625" style="28" customWidth="1"/>
    <col min="15" max="15" width="22" style="28" customWidth="1"/>
    <col min="16" max="16" width="19.5546875" style="63" customWidth="1"/>
    <col min="17" max="17" width="21.109375" style="63" customWidth="1"/>
    <col min="18" max="19" width="13.5546875" style="63" customWidth="1"/>
    <col min="20" max="22" width="11.44140625" style="63"/>
    <col min="23" max="23" width="16.33203125" style="63" customWidth="1"/>
    <col min="24" max="35" width="11.44140625" style="63" customWidth="1"/>
    <col min="36" max="36" width="11.44140625" style="63"/>
    <col min="37" max="40" width="11.44140625" style="63" customWidth="1"/>
    <col min="41" max="41" width="11.6640625" style="63" customWidth="1"/>
    <col min="42" max="51" width="11.44140625" style="23" customWidth="1"/>
    <col min="52" max="52" width="11.44140625" style="23"/>
    <col min="53" max="58" width="11.44140625" style="23" customWidth="1"/>
    <col min="59" max="70" width="11.44140625" style="23"/>
    <col min="71" max="16384" width="11.44140625" style="63"/>
  </cols>
  <sheetData>
    <row r="1" spans="1:70" s="70" customFormat="1" ht="15.6" x14ac:dyDescent="0.3">
      <c r="A1" s="70" t="s">
        <v>187</v>
      </c>
      <c r="B1" s="381" t="s">
        <v>1695</v>
      </c>
      <c r="C1" s="381" t="s">
        <v>188</v>
      </c>
      <c r="D1" s="70" t="s">
        <v>0</v>
      </c>
      <c r="E1" s="70" t="s">
        <v>190</v>
      </c>
      <c r="F1" s="70" t="s">
        <v>1713</v>
      </c>
      <c r="G1" s="70" t="s">
        <v>1721</v>
      </c>
      <c r="H1" s="70" t="s">
        <v>198</v>
      </c>
      <c r="I1" s="70" t="s">
        <v>191</v>
      </c>
      <c r="J1" s="70" t="s">
        <v>1714</v>
      </c>
      <c r="K1" s="93" t="s">
        <v>193</v>
      </c>
      <c r="L1" s="94" t="s">
        <v>209</v>
      </c>
      <c r="M1" s="93" t="s">
        <v>194</v>
      </c>
      <c r="N1" s="96" t="s">
        <v>245</v>
      </c>
      <c r="O1" s="96" t="s">
        <v>244</v>
      </c>
      <c r="P1" s="70" t="s">
        <v>1722</v>
      </c>
      <c r="Q1" s="70" t="s">
        <v>1634</v>
      </c>
      <c r="R1" s="70" t="s">
        <v>1707</v>
      </c>
      <c r="S1" s="70" t="s">
        <v>1708</v>
      </c>
      <c r="T1" s="71" t="s">
        <v>1496</v>
      </c>
      <c r="U1" s="71" t="s">
        <v>1495</v>
      </c>
      <c r="V1" s="71" t="s">
        <v>1497</v>
      </c>
      <c r="W1" s="72" t="s">
        <v>1615</v>
      </c>
      <c r="X1" s="72" t="s">
        <v>1616</v>
      </c>
      <c r="Y1" s="72" t="s">
        <v>1617</v>
      </c>
      <c r="Z1" s="72" t="s">
        <v>1618</v>
      </c>
      <c r="AA1" s="72" t="s">
        <v>1619</v>
      </c>
      <c r="AB1" s="72" t="s">
        <v>1620</v>
      </c>
      <c r="AC1" s="72" t="s">
        <v>1621</v>
      </c>
      <c r="AD1" s="72" t="s">
        <v>1622</v>
      </c>
      <c r="AE1" s="72" t="s">
        <v>1623</v>
      </c>
      <c r="AF1" s="72" t="s">
        <v>1624</v>
      </c>
      <c r="AG1" s="72" t="s">
        <v>1625</v>
      </c>
      <c r="AH1" s="72" t="s">
        <v>1626</v>
      </c>
      <c r="AI1" s="72" t="s">
        <v>1627</v>
      </c>
      <c r="AJ1" s="72" t="s">
        <v>1628</v>
      </c>
      <c r="AK1" s="72" t="s">
        <v>1629</v>
      </c>
      <c r="AL1" s="72" t="s">
        <v>1630</v>
      </c>
      <c r="AM1" s="72" t="s">
        <v>1631</v>
      </c>
      <c r="AN1" s="72" t="s">
        <v>1632</v>
      </c>
      <c r="AO1" s="72" t="s">
        <v>1633</v>
      </c>
      <c r="AP1" s="152" t="s">
        <v>1635</v>
      </c>
      <c r="AQ1" s="152" t="s">
        <v>1636</v>
      </c>
      <c r="AR1" s="152" t="s">
        <v>1637</v>
      </c>
      <c r="AS1" s="152" t="s">
        <v>1638</v>
      </c>
      <c r="AT1" s="152" t="s">
        <v>1639</v>
      </c>
      <c r="AU1" s="152" t="s">
        <v>1640</v>
      </c>
      <c r="AV1" s="152" t="s">
        <v>1641</v>
      </c>
      <c r="AW1" s="152" t="s">
        <v>1642</v>
      </c>
      <c r="AX1" s="152" t="s">
        <v>1643</v>
      </c>
      <c r="AY1" s="152" t="s">
        <v>1644</v>
      </c>
      <c r="AZ1" s="152" t="s">
        <v>1645</v>
      </c>
      <c r="BA1" s="152" t="s">
        <v>1646</v>
      </c>
      <c r="BB1" s="152" t="s">
        <v>1647</v>
      </c>
      <c r="BC1" s="152" t="s">
        <v>1648</v>
      </c>
      <c r="BD1" s="152" t="s">
        <v>1649</v>
      </c>
      <c r="BE1" s="152" t="s">
        <v>1650</v>
      </c>
      <c r="BF1" s="152" t="s">
        <v>1651</v>
      </c>
      <c r="BG1" s="153" t="s">
        <v>1672</v>
      </c>
      <c r="BH1" s="152" t="s">
        <v>1671</v>
      </c>
      <c r="BI1" s="152" t="s">
        <v>1652</v>
      </c>
      <c r="BJ1" s="152" t="s">
        <v>1653</v>
      </c>
      <c r="BK1" s="152" t="s">
        <v>1673</v>
      </c>
      <c r="BL1" s="152" t="s">
        <v>1674</v>
      </c>
      <c r="BM1" s="152" t="s">
        <v>1675</v>
      </c>
      <c r="BN1" s="152" t="s">
        <v>1676</v>
      </c>
      <c r="BO1" s="152" t="s">
        <v>1677</v>
      </c>
      <c r="BP1" s="152" t="s">
        <v>1678</v>
      </c>
      <c r="BQ1" s="152" t="s">
        <v>1679</v>
      </c>
      <c r="BR1" s="152" t="s">
        <v>1654</v>
      </c>
    </row>
    <row r="2" spans="1:70" x14ac:dyDescent="0.3">
      <c r="A2" s="63">
        <v>2017</v>
      </c>
      <c r="B2" s="382">
        <v>42897</v>
      </c>
      <c r="C2" s="382" t="s">
        <v>1720</v>
      </c>
      <c r="D2" s="63" t="s">
        <v>3</v>
      </c>
      <c r="E2" s="63" t="s">
        <v>1724</v>
      </c>
      <c r="F2" s="63" t="s">
        <v>195</v>
      </c>
      <c r="G2" s="63">
        <v>2017</v>
      </c>
      <c r="H2" s="63" t="s">
        <v>199</v>
      </c>
      <c r="I2" s="63" t="s">
        <v>92</v>
      </c>
      <c r="J2" s="63" t="s">
        <v>221</v>
      </c>
      <c r="K2" s="66">
        <f>AVERAGE(solesG0pools!H2:H94)</f>
        <v>2.9935483870967747</v>
      </c>
      <c r="L2" s="23">
        <f>STDEV(solesG0pools!H2:H94)</f>
        <v>0.87846289318243742</v>
      </c>
      <c r="M2" s="66">
        <f>AVERAGE(solesG0pools!I2:I94)</f>
        <v>2.7129032258064512</v>
      </c>
      <c r="N2" s="28">
        <f>AVERAGE(solesG0pools!J2:J94)</f>
        <v>0.23697204301075256</v>
      </c>
      <c r="O2" s="28">
        <f>STDEV(solesG0pools!J2:J94)</f>
        <v>0.21816018763922249</v>
      </c>
      <c r="P2" s="63">
        <v>22.599999999999994</v>
      </c>
      <c r="Q2" s="63">
        <v>2.17</v>
      </c>
      <c r="R2" s="63">
        <v>-17.7575</v>
      </c>
      <c r="S2" s="63">
        <v>10.702000000000002</v>
      </c>
      <c r="W2" s="63">
        <v>1.1399024031761376</v>
      </c>
      <c r="X2" s="63">
        <v>0.41250272146299904</v>
      </c>
      <c r="Y2" s="63">
        <v>3.0685450530692373</v>
      </c>
      <c r="Z2" s="63">
        <v>5.5601714085749441</v>
      </c>
      <c r="AA2" s="63">
        <v>9.6465842438879861</v>
      </c>
      <c r="AB2" s="63">
        <v>18.420000000000002</v>
      </c>
      <c r="AC2" s="63">
        <v>3.4111613687528655</v>
      </c>
      <c r="AD2" s="63">
        <v>17.95</v>
      </c>
      <c r="AE2" s="63">
        <v>31.723333408091701</v>
      </c>
      <c r="AF2" s="63">
        <v>6.1978899339422515</v>
      </c>
      <c r="AG2" s="63">
        <v>6.4</v>
      </c>
      <c r="AH2" s="63">
        <v>47.441760919968097</v>
      </c>
      <c r="AI2" s="63">
        <v>18.97</v>
      </c>
      <c r="AJ2" s="63">
        <v>57.6258308876737</v>
      </c>
      <c r="AK2" s="63">
        <v>1.7218276719728631</v>
      </c>
      <c r="AL2" s="63">
        <v>11.35</v>
      </c>
      <c r="AM2" s="63">
        <v>16.271758297940927</v>
      </c>
      <c r="AN2" s="63">
        <v>16.05</v>
      </c>
      <c r="AO2" s="63">
        <v>2.6883548089382279</v>
      </c>
      <c r="AP2" s="23">
        <v>0</v>
      </c>
      <c r="AQ2" s="23">
        <v>0</v>
      </c>
      <c r="AR2" s="23">
        <v>0</v>
      </c>
      <c r="AS2" s="23">
        <v>0</v>
      </c>
      <c r="AT2" s="23">
        <v>0.34326062639821026</v>
      </c>
      <c r="AU2" s="23">
        <v>0</v>
      </c>
      <c r="AV2" s="23">
        <v>0</v>
      </c>
      <c r="AW2" s="23">
        <v>0.58095637583892612</v>
      </c>
      <c r="AX2" s="23">
        <v>0</v>
      </c>
      <c r="AY2" s="23">
        <v>0.38730425055928408</v>
      </c>
      <c r="AZ2" s="23">
        <v>0</v>
      </c>
      <c r="BA2" s="23">
        <v>0</v>
      </c>
      <c r="BB2" s="23">
        <v>0</v>
      </c>
      <c r="BC2" s="23">
        <v>0</v>
      </c>
      <c r="BD2" s="23">
        <v>0</v>
      </c>
      <c r="BE2" s="23">
        <v>0</v>
      </c>
      <c r="BF2" s="23">
        <v>0</v>
      </c>
      <c r="BG2" s="23">
        <v>4.8542637189103832</v>
      </c>
      <c r="BH2" s="23">
        <v>0</v>
      </c>
      <c r="BI2" s="23">
        <v>0</v>
      </c>
      <c r="BJ2" s="23">
        <v>0</v>
      </c>
      <c r="BK2" s="23">
        <v>0</v>
      </c>
      <c r="BL2" s="23">
        <v>0</v>
      </c>
      <c r="BM2" s="23">
        <v>0</v>
      </c>
      <c r="BN2" s="23">
        <v>0</v>
      </c>
      <c r="BO2" s="23">
        <v>0</v>
      </c>
      <c r="BP2" s="23">
        <v>0</v>
      </c>
      <c r="BQ2" s="23">
        <v>0</v>
      </c>
      <c r="BR2" s="23">
        <v>0</v>
      </c>
    </row>
    <row r="3" spans="1:70" x14ac:dyDescent="0.3">
      <c r="A3" s="63">
        <v>2017</v>
      </c>
      <c r="B3" s="382">
        <v>42897</v>
      </c>
      <c r="C3" s="382" t="s">
        <v>1720</v>
      </c>
      <c r="D3" s="63" t="s">
        <v>13</v>
      </c>
      <c r="E3" s="63" t="s">
        <v>1724</v>
      </c>
      <c r="F3" s="63" t="s">
        <v>195</v>
      </c>
      <c r="G3" s="63">
        <v>2017</v>
      </c>
      <c r="H3" s="63" t="s">
        <v>199</v>
      </c>
      <c r="I3" s="63" t="s">
        <v>208</v>
      </c>
      <c r="J3" s="63" t="s">
        <v>221</v>
      </c>
      <c r="K3" s="66">
        <f>AVERAGE(solesG0pools!H95:H113)</f>
        <v>3.0789473684210522</v>
      </c>
      <c r="L3" s="23">
        <f>STDEV(solesG0pools!H95:H113)</f>
        <v>0.47208632375448806</v>
      </c>
      <c r="M3" s="66">
        <f>AVERAGE(solesG0pools!I95:I113)</f>
        <v>2.7789473684210524</v>
      </c>
      <c r="N3" s="28">
        <f>AVERAGE(solesG0pools!J95:J113)</f>
        <v>0.22908421052631578</v>
      </c>
      <c r="O3" s="28">
        <f>STDEV(solesG0pools!J95:J113)</f>
        <v>8.4357119591241356E-2</v>
      </c>
      <c r="P3" s="63">
        <v>22.200000000000003</v>
      </c>
      <c r="Q3" s="63">
        <v>3.5</v>
      </c>
      <c r="W3" s="63">
        <v>0.95839713814897043</v>
      </c>
      <c r="X3" s="63">
        <v>0.64429095222068689</v>
      </c>
      <c r="Y3" s="63">
        <v>2.4503323674354216</v>
      </c>
      <c r="Z3" s="63">
        <v>4.6520067870980482</v>
      </c>
      <c r="AA3" s="63">
        <v>6.7331856862108248</v>
      </c>
      <c r="AB3" s="63">
        <v>24.64087279148486</v>
      </c>
      <c r="AC3" s="63">
        <v>5.2260297490483092</v>
      </c>
      <c r="AD3" s="63">
        <v>26.955419997450697</v>
      </c>
      <c r="AE3" s="63">
        <v>23.80168085648625</v>
      </c>
      <c r="AF3" s="63">
        <v>7.4317964190787711</v>
      </c>
      <c r="AG3" s="63">
        <v>7.9299223206524676</v>
      </c>
      <c r="AH3" s="63">
        <v>41.797864323608664</v>
      </c>
      <c r="AI3" s="63">
        <v>26.173829924604078</v>
      </c>
      <c r="AJ3" s="63">
        <v>74.553255876018284</v>
      </c>
      <c r="AK3" s="63">
        <v>3.0399388320177376</v>
      </c>
      <c r="AL3" s="63">
        <v>9.2190007164099441</v>
      </c>
      <c r="AM3" s="63">
        <v>20.96192877194316</v>
      </c>
      <c r="AN3" s="63">
        <v>18.260188092633619</v>
      </c>
      <c r="AO3" s="63">
        <v>3.2333004410605195</v>
      </c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</row>
    <row r="4" spans="1:70" x14ac:dyDescent="0.3">
      <c r="A4" s="63">
        <v>2017</v>
      </c>
      <c r="B4" s="382">
        <v>42915</v>
      </c>
      <c r="C4" s="382" t="s">
        <v>1720</v>
      </c>
      <c r="D4" s="63" t="s">
        <v>13</v>
      </c>
      <c r="E4" s="63" t="s">
        <v>1724</v>
      </c>
      <c r="F4" s="63" t="s">
        <v>195</v>
      </c>
      <c r="G4" s="63">
        <v>2017</v>
      </c>
      <c r="H4" s="63" t="s">
        <v>199</v>
      </c>
      <c r="I4" s="63" t="s">
        <v>93</v>
      </c>
      <c r="J4" s="63" t="s">
        <v>221</v>
      </c>
      <c r="K4" s="66">
        <f>AVERAGE(solesG0pools!H114:H126)</f>
        <v>4.569230769230769</v>
      </c>
      <c r="L4" s="23">
        <f>STDEV(solesG0pools!H114:H126)</f>
        <v>0.56033414939156001</v>
      </c>
      <c r="M4" s="66">
        <f>AVERAGE(solesG0pools!I114:I126)</f>
        <v>4.1461538461538456</v>
      </c>
      <c r="N4" s="28">
        <f>AVERAGE(solesG0pools!J114:J126)</f>
        <v>0.76336153846153865</v>
      </c>
      <c r="O4" s="28">
        <f>STDEV(solesG0pools!J114:J126)</f>
        <v>0.3067415837977775</v>
      </c>
      <c r="P4" s="63">
        <v>21.599999999999994</v>
      </c>
      <c r="Q4" s="63">
        <v>3.1</v>
      </c>
      <c r="T4" s="380">
        <v>73.580297883417458</v>
      </c>
      <c r="U4" s="380">
        <v>12.419509327637813</v>
      </c>
      <c r="V4" s="380">
        <v>113.8024241353186</v>
      </c>
      <c r="W4" s="63">
        <v>0.36067952401635583</v>
      </c>
      <c r="X4" s="63">
        <v>0.14137267104421641</v>
      </c>
      <c r="Y4" s="63">
        <v>2.8372559105115731</v>
      </c>
      <c r="Z4" s="63">
        <v>3.1490713176644256</v>
      </c>
      <c r="AA4" s="63">
        <v>7.0300683563613839</v>
      </c>
      <c r="AB4" s="63">
        <v>26.197368976456715</v>
      </c>
      <c r="AC4" s="63">
        <v>4.3147092278575725</v>
      </c>
      <c r="AD4" s="63">
        <v>25.557640240226693</v>
      </c>
      <c r="AE4" s="63">
        <v>24.005180077527253</v>
      </c>
      <c r="AF4" s="63">
        <v>7.5149386700508085</v>
      </c>
      <c r="AG4" s="63">
        <v>6.5239241293470513</v>
      </c>
      <c r="AH4" s="63">
        <v>44.404850279416308</v>
      </c>
      <c r="AI4" s="63">
        <v>25.479263872309964</v>
      </c>
      <c r="AJ4" s="63">
        <v>80.321380556512793</v>
      </c>
      <c r="AK4" s="63">
        <v>2.7491762823502679</v>
      </c>
      <c r="AL4" s="63">
        <v>9.5488922901460143</v>
      </c>
      <c r="AM4" s="63">
        <v>23.301253080160418</v>
      </c>
      <c r="AN4" s="63">
        <v>18.647520200627461</v>
      </c>
      <c r="AO4" s="63">
        <v>3.3455861862506278</v>
      </c>
      <c r="AP4" s="23">
        <v>0.58167816475650003</v>
      </c>
      <c r="AQ4" s="23">
        <v>0</v>
      </c>
      <c r="AR4" s="23">
        <v>0</v>
      </c>
      <c r="AS4" s="23">
        <v>2.4496263120804125</v>
      </c>
      <c r="AT4" s="23">
        <v>2.0248878008975928</v>
      </c>
      <c r="AU4" s="23">
        <v>2.4679044567643458</v>
      </c>
      <c r="AV4" s="23">
        <v>0.83382371402567235</v>
      </c>
      <c r="AW4" s="23">
        <v>1.9641982864137086</v>
      </c>
      <c r="AX4" s="23">
        <v>0.50907792737658097</v>
      </c>
      <c r="AY4" s="23">
        <v>0</v>
      </c>
      <c r="AZ4" s="23">
        <v>1.4790769673842608</v>
      </c>
      <c r="BA4" s="23">
        <v>0</v>
      </c>
      <c r="BB4" s="23">
        <v>0</v>
      </c>
      <c r="BC4" s="23">
        <v>0.31451448388412895</v>
      </c>
      <c r="BD4" s="23">
        <v>0</v>
      </c>
      <c r="BE4" s="23">
        <v>2.4822011423908612</v>
      </c>
      <c r="BF4" s="23">
        <v>0</v>
      </c>
      <c r="BG4" s="23">
        <v>35.742303261573909</v>
      </c>
      <c r="BH4" s="23">
        <v>6.8993724050207588</v>
      </c>
      <c r="BI4" s="23">
        <v>0</v>
      </c>
      <c r="BJ4" s="23">
        <v>0</v>
      </c>
      <c r="BK4" s="23">
        <v>0</v>
      </c>
      <c r="BL4" s="23">
        <v>0</v>
      </c>
      <c r="BM4" s="23">
        <v>9.3176254589963273E-2</v>
      </c>
      <c r="BN4" s="23">
        <v>0</v>
      </c>
      <c r="BO4" s="23">
        <v>0</v>
      </c>
      <c r="BP4" s="23">
        <v>0</v>
      </c>
      <c r="BQ4" s="23">
        <v>0</v>
      </c>
      <c r="BR4" s="23">
        <v>0</v>
      </c>
    </row>
    <row r="5" spans="1:70" x14ac:dyDescent="0.3">
      <c r="A5" s="63">
        <v>2017</v>
      </c>
      <c r="B5" s="382">
        <v>42901</v>
      </c>
      <c r="C5" s="382" t="s">
        <v>1720</v>
      </c>
      <c r="D5" s="63" t="s">
        <v>14</v>
      </c>
      <c r="E5" s="63" t="s">
        <v>1724</v>
      </c>
      <c r="F5" s="63" t="s">
        <v>195</v>
      </c>
      <c r="G5" s="63">
        <v>2017</v>
      </c>
      <c r="H5" s="63" t="s">
        <v>199</v>
      </c>
      <c r="I5" s="63" t="s">
        <v>94</v>
      </c>
      <c r="J5" s="63" t="s">
        <v>221</v>
      </c>
      <c r="K5" s="66">
        <f>AVERAGE(solesG0pools!H127:H149)</f>
        <v>3.3086956521739133</v>
      </c>
      <c r="L5" s="23">
        <f>STDEV(solesG0pools!H127:H149)</f>
        <v>0.942874253390933</v>
      </c>
      <c r="M5" s="66">
        <f>AVERAGE(solesG0pools!I127:I149)</f>
        <v>2.9739130434782597</v>
      </c>
      <c r="N5" s="28">
        <f>AVERAGE(solesG0pools!J127:J149)</f>
        <v>0.33633478260869576</v>
      </c>
      <c r="O5" s="28">
        <f>STDEV(solesG0pools!J127:J149)</f>
        <v>0.32325765069859963</v>
      </c>
      <c r="P5" s="63">
        <v>22.200000000000003</v>
      </c>
      <c r="Q5" s="63">
        <v>2.3650000000000002</v>
      </c>
      <c r="T5" s="380">
        <v>164.15428895001807</v>
      </c>
      <c r="U5" s="378">
        <v>47</v>
      </c>
      <c r="V5" s="380">
        <v>240.69040811870119</v>
      </c>
      <c r="W5" s="63">
        <v>1.6957603279015905</v>
      </c>
      <c r="X5" s="63">
        <v>0.81950760176880044</v>
      </c>
      <c r="Y5" s="63">
        <v>4.7383423297003331</v>
      </c>
      <c r="Z5" s="63">
        <v>6.5769942082569965</v>
      </c>
      <c r="AA5" s="63">
        <v>11.096835930989053</v>
      </c>
      <c r="AB5" s="63">
        <v>27.3423838639448</v>
      </c>
      <c r="AC5" s="63">
        <v>5.4997558192139735</v>
      </c>
      <c r="AD5" s="63">
        <v>19.037556297739901</v>
      </c>
      <c r="AE5" s="63">
        <v>29.420453744178101</v>
      </c>
      <c r="AF5" s="63">
        <v>7.974324565960492</v>
      </c>
      <c r="AG5" s="63">
        <v>8.3833542319615812</v>
      </c>
      <c r="AH5" s="63">
        <v>58.100309131823003</v>
      </c>
      <c r="AI5" s="63">
        <v>23.049469190087098</v>
      </c>
      <c r="AJ5" s="63">
        <v>71.991508944695397</v>
      </c>
      <c r="AK5" s="63">
        <v>3.0636720254840304</v>
      </c>
      <c r="AL5" s="63">
        <v>13.3216402000277</v>
      </c>
      <c r="AM5" s="63">
        <v>18.584088015465596</v>
      </c>
      <c r="AN5" s="63">
        <v>18.446516959750447</v>
      </c>
      <c r="AO5" s="63">
        <v>2.4411491478060827</v>
      </c>
      <c r="AP5" s="23">
        <v>1.1953215807826425</v>
      </c>
      <c r="AQ5" s="23">
        <v>0</v>
      </c>
      <c r="AR5" s="23">
        <v>0</v>
      </c>
      <c r="AS5" s="23">
        <v>0</v>
      </c>
      <c r="AT5" s="23">
        <v>0.80729368461836504</v>
      </c>
      <c r="AU5" s="23">
        <v>0.9395423570435536</v>
      </c>
      <c r="AV5" s="23">
        <v>0</v>
      </c>
      <c r="AW5" s="23">
        <v>1.2518095523229193</v>
      </c>
      <c r="AX5" s="23">
        <v>0.41008153992462398</v>
      </c>
      <c r="AY5" s="23">
        <v>0</v>
      </c>
      <c r="AZ5" s="23">
        <v>0.48781811551713783</v>
      </c>
      <c r="BA5" s="23">
        <v>0</v>
      </c>
      <c r="BB5" s="23">
        <v>0</v>
      </c>
      <c r="BC5" s="23">
        <v>0.19791042936141734</v>
      </c>
      <c r="BD5" s="23">
        <v>0</v>
      </c>
      <c r="BE5" s="23">
        <v>0</v>
      </c>
      <c r="BF5" s="23">
        <v>0</v>
      </c>
      <c r="BG5" s="23">
        <v>8.4572967924798021</v>
      </c>
      <c r="BH5" s="23">
        <v>1.0072594981425347</v>
      </c>
      <c r="BI5" s="23">
        <v>0</v>
      </c>
      <c r="BJ5" s="23">
        <v>0</v>
      </c>
      <c r="BK5" s="23">
        <v>0</v>
      </c>
      <c r="BL5" s="23">
        <v>0</v>
      </c>
      <c r="BM5" s="23">
        <v>0</v>
      </c>
      <c r="BN5" s="23">
        <v>0</v>
      </c>
      <c r="BO5" s="23">
        <v>0</v>
      </c>
      <c r="BP5" s="23">
        <v>0</v>
      </c>
      <c r="BQ5" s="23">
        <v>0</v>
      </c>
      <c r="BR5" s="23">
        <v>0</v>
      </c>
    </row>
    <row r="6" spans="1:70" x14ac:dyDescent="0.3">
      <c r="A6" s="63">
        <v>2017</v>
      </c>
      <c r="B6" s="382">
        <v>42915</v>
      </c>
      <c r="C6" s="382" t="s">
        <v>1720</v>
      </c>
      <c r="D6" s="63" t="s">
        <v>14</v>
      </c>
      <c r="E6" s="63" t="s">
        <v>1724</v>
      </c>
      <c r="F6" s="63" t="s">
        <v>195</v>
      </c>
      <c r="G6" s="63">
        <v>2017</v>
      </c>
      <c r="H6" s="63" t="s">
        <v>199</v>
      </c>
      <c r="I6" s="63" t="s">
        <v>95</v>
      </c>
      <c r="J6" s="63" t="s">
        <v>221</v>
      </c>
      <c r="K6" s="66">
        <f>AVERAGE(solesG0pools!H150:H169)</f>
        <v>5.085</v>
      </c>
      <c r="L6" s="23">
        <f>STDEV(solesG0pools!H150:H169)</f>
        <v>0.69226934216767355</v>
      </c>
      <c r="M6" s="66">
        <f>AVERAGE(solesG0pools!I150:I169)</f>
        <v>4.4550000000000001</v>
      </c>
      <c r="N6" s="28">
        <f>AVERAGE(solesG0pools!J150:J169)</f>
        <v>1.02268</v>
      </c>
      <c r="O6" s="28">
        <f>STDEV(solesG0pools!J150:J169)</f>
        <v>0.44047008811758803</v>
      </c>
      <c r="P6" s="63">
        <v>21.900000000000006</v>
      </c>
      <c r="Q6" s="63">
        <v>3.7</v>
      </c>
      <c r="T6" s="380">
        <v>93.346104201463447</v>
      </c>
      <c r="U6" s="380">
        <v>22.264767984077967</v>
      </c>
      <c r="V6" s="380">
        <v>240.40369000948937</v>
      </c>
      <c r="W6" s="63">
        <v>0.97104357974976163</v>
      </c>
      <c r="X6" s="63">
        <v>0.31824231472093856</v>
      </c>
      <c r="Y6" s="63">
        <v>3.1991433104404488</v>
      </c>
      <c r="Z6" s="63">
        <v>4.813332707738617</v>
      </c>
      <c r="AA6" s="63">
        <v>7.7543235434919264</v>
      </c>
      <c r="AB6" s="63">
        <v>21.934150461571818</v>
      </c>
      <c r="AC6" s="63">
        <v>3.545958026482086</v>
      </c>
      <c r="AD6" s="63">
        <v>19.64285876829647</v>
      </c>
      <c r="AE6" s="63">
        <v>19.326342731266205</v>
      </c>
      <c r="AF6" s="63">
        <v>5.9433979146492959</v>
      </c>
      <c r="AG6" s="63">
        <v>4.9574759962038879</v>
      </c>
      <c r="AH6" s="63">
        <v>34.323014228892823</v>
      </c>
      <c r="AI6" s="63">
        <v>19.953350160856491</v>
      </c>
      <c r="AJ6" s="63">
        <v>62.563340912104877</v>
      </c>
      <c r="AK6" s="63">
        <v>2.2418213518094552</v>
      </c>
      <c r="AL6" s="63">
        <v>6.4344080352636306</v>
      </c>
      <c r="AM6" s="63">
        <v>15.249885161187652</v>
      </c>
      <c r="AN6" s="63">
        <v>13.939684069375234</v>
      </c>
      <c r="AO6" s="63">
        <v>2.0565420995945787</v>
      </c>
      <c r="AP6" s="23">
        <v>0.93528201449713089</v>
      </c>
      <c r="AQ6" s="23">
        <v>0</v>
      </c>
      <c r="AR6" s="23">
        <v>0.81751642253095735</v>
      </c>
      <c r="AS6" s="23">
        <v>2.9947523406825733</v>
      </c>
      <c r="AT6" s="23">
        <v>1.5495224252491695</v>
      </c>
      <c r="AU6" s="23">
        <v>1.2614126041537121</v>
      </c>
      <c r="AV6" s="23">
        <v>0.42061862556048596</v>
      </c>
      <c r="AW6" s="23">
        <v>1.0143744337058291</v>
      </c>
      <c r="AX6" s="23">
        <v>0.36172040169133191</v>
      </c>
      <c r="AY6" s="23">
        <v>0</v>
      </c>
      <c r="AZ6" s="23">
        <v>0.36541147378613176</v>
      </c>
      <c r="BA6" s="23">
        <v>0</v>
      </c>
      <c r="BB6" s="23">
        <v>0</v>
      </c>
      <c r="BC6" s="23">
        <v>0</v>
      </c>
      <c r="BD6" s="23">
        <v>0</v>
      </c>
      <c r="BE6" s="23">
        <v>0</v>
      </c>
      <c r="BF6" s="23">
        <v>0</v>
      </c>
      <c r="BG6" s="23">
        <v>10.589058752465045</v>
      </c>
      <c r="BH6" s="23">
        <v>1.4121905924103255</v>
      </c>
      <c r="BI6" s="23">
        <v>0</v>
      </c>
      <c r="BJ6" s="23">
        <v>0</v>
      </c>
      <c r="BK6" s="23">
        <v>0</v>
      </c>
      <c r="BL6" s="23">
        <v>0.13449486559951673</v>
      </c>
      <c r="BM6" s="23">
        <v>0</v>
      </c>
      <c r="BN6" s="23">
        <v>0</v>
      </c>
      <c r="BO6" s="23">
        <v>0</v>
      </c>
      <c r="BP6" s="23">
        <v>0</v>
      </c>
      <c r="BQ6" s="23">
        <v>0</v>
      </c>
      <c r="BR6" s="23">
        <v>0</v>
      </c>
    </row>
    <row r="7" spans="1:70" x14ac:dyDescent="0.3">
      <c r="A7" s="63">
        <v>2017</v>
      </c>
      <c r="B7" s="382">
        <v>42901</v>
      </c>
      <c r="C7" s="382" t="s">
        <v>1720</v>
      </c>
      <c r="D7" s="63" t="s">
        <v>15</v>
      </c>
      <c r="E7" s="63" t="s">
        <v>1724</v>
      </c>
      <c r="F7" s="63" t="s">
        <v>195</v>
      </c>
      <c r="G7" s="63">
        <v>2017</v>
      </c>
      <c r="H7" s="63" t="s">
        <v>199</v>
      </c>
      <c r="I7" s="63" t="s">
        <v>96</v>
      </c>
      <c r="J7" s="63" t="s">
        <v>221</v>
      </c>
      <c r="K7" s="66">
        <f>AVERAGE(solesG0pools!H170:H206)</f>
        <v>3.3378378378378377</v>
      </c>
      <c r="L7" s="23">
        <f>STDEV(solesG0pools!H170:H206)</f>
        <v>0.63567608424738375</v>
      </c>
      <c r="M7" s="66">
        <f>AVERAGE(solesG0pools!I170:I206)</f>
        <v>2.9540540540540547</v>
      </c>
      <c r="N7" s="28">
        <f>AVERAGE(solesG0pools!J170:J206)</f>
        <v>0.30160810810810812</v>
      </c>
      <c r="O7" s="28">
        <f>STDEV(solesG0pools!J170:J206)</f>
        <v>0.18227876145310201</v>
      </c>
      <c r="P7" s="63">
        <v>22.400000000000006</v>
      </c>
      <c r="Q7" s="63">
        <v>2.1949999999999998</v>
      </c>
      <c r="T7" s="380">
        <v>239.64454647680725</v>
      </c>
      <c r="U7" s="380">
        <v>37.460131297399485</v>
      </c>
      <c r="V7" s="380">
        <v>352.92535304483715</v>
      </c>
      <c r="W7" s="63">
        <v>1.5426092133500917</v>
      </c>
      <c r="X7" s="63">
        <v>0.4532438186749323</v>
      </c>
      <c r="Y7" s="63">
        <v>6.369782434045038</v>
      </c>
      <c r="Z7" s="63">
        <v>8.9265734832547103</v>
      </c>
      <c r="AA7" s="63">
        <v>15.681603869335916</v>
      </c>
      <c r="AB7" s="63">
        <v>30.779454455525698</v>
      </c>
      <c r="AC7" s="63">
        <v>6.0530350867813976</v>
      </c>
      <c r="AD7" s="63">
        <v>27.506235485456902</v>
      </c>
      <c r="AE7" s="63">
        <v>37.035992669889303</v>
      </c>
      <c r="AF7" s="63">
        <v>9.9859524275068203</v>
      </c>
      <c r="AG7" s="63">
        <v>10.420366726822373</v>
      </c>
      <c r="AH7" s="63">
        <v>72.153185578616402</v>
      </c>
      <c r="AI7" s="63">
        <v>30.488467455126301</v>
      </c>
      <c r="AJ7" s="63">
        <v>85.906453290332905</v>
      </c>
      <c r="AK7" s="63">
        <v>3.8675589549472402</v>
      </c>
      <c r="AL7" s="63">
        <v>22.823065316489799</v>
      </c>
      <c r="AM7" s="63">
        <v>29.270588960083867</v>
      </c>
      <c r="AN7" s="63">
        <v>23.249655675097639</v>
      </c>
      <c r="AO7" s="63">
        <v>4.0937973886019634</v>
      </c>
      <c r="AP7" s="23">
        <v>0.81259269977932913</v>
      </c>
      <c r="AQ7" s="23">
        <v>0</v>
      </c>
      <c r="AR7" s="23">
        <v>0</v>
      </c>
      <c r="AS7" s="23">
        <v>3.7668306623738372</v>
      </c>
      <c r="AT7" s="23">
        <v>1.5928083059002276</v>
      </c>
      <c r="AU7" s="23">
        <v>2.3531109886345014</v>
      </c>
      <c r="AV7" s="23">
        <v>0</v>
      </c>
      <c r="AW7" s="23">
        <v>2.1576710197880105</v>
      </c>
      <c r="AX7" s="23">
        <v>0.63958325796765891</v>
      </c>
      <c r="AY7" s="23">
        <v>0</v>
      </c>
      <c r="AZ7" s="23">
        <v>0</v>
      </c>
      <c r="BA7" s="23">
        <v>0</v>
      </c>
      <c r="BB7" s="23">
        <v>0</v>
      </c>
      <c r="BC7" s="23">
        <v>0</v>
      </c>
      <c r="BD7" s="23">
        <v>0</v>
      </c>
      <c r="BE7" s="23">
        <v>1.7849907752414711</v>
      </c>
      <c r="BF7" s="23">
        <v>0</v>
      </c>
      <c r="BG7" s="23">
        <v>21.978376396942416</v>
      </c>
      <c r="BH7" s="23">
        <v>3.8959174258156741</v>
      </c>
      <c r="BI7" s="23">
        <v>0</v>
      </c>
      <c r="BJ7" s="23">
        <v>0</v>
      </c>
      <c r="BK7" s="23">
        <v>0</v>
      </c>
      <c r="BL7" s="23">
        <v>1.2056759396592263</v>
      </c>
      <c r="BM7" s="23">
        <v>0.12976160329920775</v>
      </c>
      <c r="BN7" s="23">
        <v>0</v>
      </c>
      <c r="BO7" s="23">
        <v>0</v>
      </c>
      <c r="BP7" s="23">
        <v>0</v>
      </c>
      <c r="BQ7" s="23">
        <v>0</v>
      </c>
      <c r="BR7" s="23">
        <v>0</v>
      </c>
    </row>
    <row r="8" spans="1:70" x14ac:dyDescent="0.3">
      <c r="A8" s="63">
        <v>2017</v>
      </c>
      <c r="B8" s="382">
        <v>42986</v>
      </c>
      <c r="C8" s="382" t="s">
        <v>1719</v>
      </c>
      <c r="D8" s="63" t="s">
        <v>3</v>
      </c>
      <c r="E8" s="63" t="s">
        <v>1724</v>
      </c>
      <c r="F8" s="63" t="s">
        <v>195</v>
      </c>
      <c r="G8" s="63">
        <v>2017</v>
      </c>
      <c r="H8" s="63" t="s">
        <v>199</v>
      </c>
      <c r="I8" s="63" t="s">
        <v>97</v>
      </c>
      <c r="J8" s="63" t="s">
        <v>221</v>
      </c>
      <c r="K8" s="66">
        <f>AVERAGE(solesG0pools!H207:H218)</f>
        <v>8.3666666666666654</v>
      </c>
      <c r="L8" s="23">
        <f>STDEV(solesG0pools!H207:H218)</f>
        <v>1.54292127492172</v>
      </c>
      <c r="N8" s="28">
        <f>AVERAGE(solesG0pools!J207:J218)</f>
        <v>4.9788833333333331</v>
      </c>
      <c r="O8" s="28">
        <f>STDEV(solesG0pools!J207:J218)</f>
        <v>2.744089992836948</v>
      </c>
      <c r="P8" s="63">
        <v>22.900000000000006</v>
      </c>
      <c r="Q8" s="63">
        <v>4.2</v>
      </c>
      <c r="T8" s="379">
        <v>24.356108090300594</v>
      </c>
      <c r="U8" s="378">
        <v>2.2901418413130559</v>
      </c>
      <c r="V8" s="378">
        <v>6.6446784503356842</v>
      </c>
      <c r="W8" s="63">
        <v>1.5349118943923994</v>
      </c>
      <c r="X8" s="63">
        <v>0.22564339825094409</v>
      </c>
      <c r="Y8" s="63">
        <v>5.7118509169326988</v>
      </c>
      <c r="Z8" s="63">
        <v>8.7358289315064752</v>
      </c>
      <c r="AA8" s="63">
        <v>17.273035126351026</v>
      </c>
      <c r="AB8" s="63">
        <v>47.246392764113438</v>
      </c>
      <c r="AC8" s="63">
        <v>8.71046803420092</v>
      </c>
      <c r="AD8" s="63">
        <v>37.059853214733309</v>
      </c>
      <c r="AE8" s="63">
        <v>40.838566095827872</v>
      </c>
      <c r="AF8" s="63">
        <v>10.957477210667093</v>
      </c>
      <c r="AG8" s="63">
        <v>7.7084326315121539</v>
      </c>
      <c r="AH8" s="63">
        <v>61.579403936240325</v>
      </c>
      <c r="AI8" s="63">
        <v>35.00830042039788</v>
      </c>
      <c r="AJ8" s="63">
        <v>112.49912972712863</v>
      </c>
      <c r="AK8" s="63">
        <v>3.7655390341221437</v>
      </c>
      <c r="AL8" s="63">
        <v>11.745016441484655</v>
      </c>
      <c r="AM8" s="63">
        <v>26.65846844146251</v>
      </c>
      <c r="AN8" s="63">
        <v>23.396033642949696</v>
      </c>
      <c r="AO8" s="63">
        <v>4.0036595264156762</v>
      </c>
      <c r="AP8" s="23">
        <v>0</v>
      </c>
      <c r="AQ8" s="23">
        <v>0</v>
      </c>
      <c r="AR8" s="23">
        <v>0</v>
      </c>
      <c r="AS8" s="23">
        <v>0</v>
      </c>
      <c r="AT8" s="23">
        <v>0.9625935162094762</v>
      </c>
      <c r="AU8" s="23">
        <v>1.2514375825143023</v>
      </c>
      <c r="AV8" s="23">
        <v>0.37409680925890393</v>
      </c>
      <c r="AW8" s="23">
        <v>1.2138403990024935</v>
      </c>
      <c r="AX8" s="23">
        <v>0.54706982543640881</v>
      </c>
      <c r="AY8" s="23">
        <v>0</v>
      </c>
      <c r="AZ8" s="23">
        <v>0</v>
      </c>
      <c r="BA8" s="23">
        <v>0</v>
      </c>
      <c r="BB8" s="23">
        <v>0</v>
      </c>
      <c r="BC8" s="23">
        <v>0.19544887780548625</v>
      </c>
      <c r="BD8" s="23">
        <v>0</v>
      </c>
      <c r="BE8" s="23">
        <v>0</v>
      </c>
      <c r="BF8" s="23">
        <v>0</v>
      </c>
      <c r="BG8" s="23">
        <v>10.618406190406336</v>
      </c>
      <c r="BH8" s="23">
        <v>1.8692276661287952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</row>
    <row r="9" spans="1:70" x14ac:dyDescent="0.3">
      <c r="A9" s="63">
        <v>2017</v>
      </c>
      <c r="B9" s="382">
        <v>42986</v>
      </c>
      <c r="C9" s="382" t="s">
        <v>1719</v>
      </c>
      <c r="D9" s="63" t="s">
        <v>3</v>
      </c>
      <c r="E9" s="63" t="s">
        <v>1724</v>
      </c>
      <c r="F9" s="63" t="s">
        <v>195</v>
      </c>
      <c r="G9" s="63">
        <v>2017</v>
      </c>
      <c r="H9" s="63" t="s">
        <v>199</v>
      </c>
      <c r="I9" s="63" t="s">
        <v>98</v>
      </c>
      <c r="J9" s="63" t="s">
        <v>221</v>
      </c>
      <c r="K9" s="66">
        <f>AVERAGE(solesG0pools!H219:H230)</f>
        <v>8.9249999999999989</v>
      </c>
      <c r="L9" s="23">
        <f>STDEV(solesG0pools!H219:H230)</f>
        <v>1.5148507277196435</v>
      </c>
      <c r="N9" s="28">
        <f>AVERAGE(solesG0pools!J219:J230)</f>
        <v>6.1365750000000006</v>
      </c>
      <c r="O9" s="28">
        <f>STDEV(solesG0pools!J219:J230)</f>
        <v>2.9865853067964951</v>
      </c>
      <c r="P9" s="63">
        <v>23.099999999999994</v>
      </c>
      <c r="Q9" s="63">
        <v>4</v>
      </c>
      <c r="T9" s="379">
        <v>21.298968156778063</v>
      </c>
      <c r="U9" s="378">
        <v>2.2711704678867908</v>
      </c>
      <c r="V9" s="378">
        <v>6.5896344028864231</v>
      </c>
      <c r="W9" s="63">
        <v>1.6936195138366399</v>
      </c>
      <c r="X9" s="63">
        <v>0.23482450462879903</v>
      </c>
      <c r="Y9" s="63">
        <v>6.6574444938343209</v>
      </c>
      <c r="Z9" s="63">
        <v>10.373807730292913</v>
      </c>
      <c r="AA9" s="63">
        <v>18.197370094795133</v>
      </c>
      <c r="AB9" s="63">
        <v>49.477202786816406</v>
      </c>
      <c r="AC9" s="63">
        <v>8.5038447378057764</v>
      </c>
      <c r="AD9" s="63">
        <v>41.111906857925426</v>
      </c>
      <c r="AE9" s="63">
        <v>43.00065080449734</v>
      </c>
      <c r="AF9" s="63">
        <v>10.91965413098707</v>
      </c>
      <c r="AG9" s="63">
        <v>8.9032458489749029</v>
      </c>
      <c r="AH9" s="63">
        <v>62.682519985071522</v>
      </c>
      <c r="AI9" s="63">
        <v>37.557446143953108</v>
      </c>
      <c r="AJ9" s="63">
        <v>112.35976677270071</v>
      </c>
      <c r="AK9" s="63">
        <v>3.7303631573746392</v>
      </c>
      <c r="AL9" s="63">
        <v>11.300777373361868</v>
      </c>
      <c r="AM9" s="63">
        <v>26.469354080042208</v>
      </c>
      <c r="AN9" s="63">
        <v>23.935261853470223</v>
      </c>
      <c r="AO9" s="63">
        <v>3.5791011366703014</v>
      </c>
      <c r="AP9" s="23">
        <v>0.75966172952434552</v>
      </c>
      <c r="AQ9" s="23">
        <v>0</v>
      </c>
      <c r="AR9" s="23">
        <v>0</v>
      </c>
      <c r="AS9" s="23">
        <v>0</v>
      </c>
      <c r="AT9" s="23">
        <v>1.143698986771742</v>
      </c>
      <c r="AU9" s="23">
        <v>1.4005170651148158</v>
      </c>
      <c r="AV9" s="23">
        <v>0.41609981543224572</v>
      </c>
      <c r="AW9" s="23">
        <v>1.2197834576414299</v>
      </c>
      <c r="AX9" s="23">
        <v>0.44573687728679984</v>
      </c>
      <c r="AY9" s="23">
        <v>0</v>
      </c>
      <c r="AZ9" s="23">
        <v>0</v>
      </c>
      <c r="BA9" s="23">
        <v>0</v>
      </c>
      <c r="BB9" s="23">
        <v>0</v>
      </c>
      <c r="BC9" s="23">
        <v>0.2247792358570222</v>
      </c>
      <c r="BD9" s="23">
        <v>0</v>
      </c>
      <c r="BE9" s="23">
        <v>0</v>
      </c>
      <c r="BF9" s="23">
        <v>0</v>
      </c>
      <c r="BG9" s="23">
        <v>10.966603512359065</v>
      </c>
      <c r="BH9" s="23">
        <v>2.0636294825416797</v>
      </c>
      <c r="BI9" s="23">
        <v>0</v>
      </c>
      <c r="BJ9" s="23">
        <v>0</v>
      </c>
      <c r="BK9" s="23">
        <v>0</v>
      </c>
      <c r="BL9" s="23">
        <v>0</v>
      </c>
      <c r="BM9" s="23">
        <v>0</v>
      </c>
      <c r="BN9" s="23">
        <v>0</v>
      </c>
      <c r="BO9" s="23">
        <v>0</v>
      </c>
      <c r="BP9" s="23">
        <v>0</v>
      </c>
      <c r="BQ9" s="23">
        <v>0</v>
      </c>
      <c r="BR9" s="23">
        <v>0</v>
      </c>
    </row>
    <row r="10" spans="1:70" x14ac:dyDescent="0.3">
      <c r="A10" s="63">
        <v>2017</v>
      </c>
      <c r="B10" s="382">
        <v>43013</v>
      </c>
      <c r="C10" s="382" t="s">
        <v>1719</v>
      </c>
      <c r="D10" s="63" t="s">
        <v>3</v>
      </c>
      <c r="E10" s="63" t="s">
        <v>1724</v>
      </c>
      <c r="F10" s="63" t="s">
        <v>195</v>
      </c>
      <c r="G10" s="63">
        <v>2017</v>
      </c>
      <c r="H10" s="63" t="s">
        <v>199</v>
      </c>
      <c r="I10" s="63" t="s">
        <v>99</v>
      </c>
      <c r="J10" s="63" t="s">
        <v>221</v>
      </c>
      <c r="K10" s="66">
        <f>AVERAGE(solesG0pools!H231:H239)</f>
        <v>11.911111111111111</v>
      </c>
      <c r="L10" s="23">
        <f>STDEV(solesG0pools!H231:H239)</f>
        <v>0.70965562853479225</v>
      </c>
      <c r="N10" s="28">
        <f>AVERAGE(solesG0pools!J231:J239)</f>
        <v>13.473222222222224</v>
      </c>
      <c r="O10" s="28">
        <f>STDEV(solesG0pools!J231:J239)</f>
        <v>2.6868199468785403</v>
      </c>
      <c r="P10" s="63">
        <v>23.299999999999997</v>
      </c>
      <c r="Q10" s="63">
        <v>4.8</v>
      </c>
      <c r="T10" s="379">
        <v>51.584908283438921</v>
      </c>
      <c r="U10" s="378">
        <v>2.0275999860512139</v>
      </c>
      <c r="V10" s="378">
        <v>5.8829325285331748</v>
      </c>
      <c r="W10" s="63">
        <v>2.5734962782604249</v>
      </c>
      <c r="X10" s="63">
        <v>0.47632955200337984</v>
      </c>
      <c r="Y10" s="63">
        <v>8.757145612073133</v>
      </c>
      <c r="Z10" s="63">
        <v>13.376050704956135</v>
      </c>
      <c r="AA10" s="63">
        <v>24.997961985787224</v>
      </c>
      <c r="AB10" s="63">
        <v>56.419297225320101</v>
      </c>
      <c r="AC10" s="63">
        <v>8.8432771320064383</v>
      </c>
      <c r="AD10" s="63">
        <v>46.99793292762368</v>
      </c>
      <c r="AE10" s="63">
        <v>46.155630453675826</v>
      </c>
      <c r="AF10" s="63">
        <v>13.344750822323885</v>
      </c>
      <c r="AG10" s="63">
        <v>10.700981401236675</v>
      </c>
      <c r="AH10" s="63">
        <v>75.367026307175053</v>
      </c>
      <c r="AI10" s="63">
        <v>48.139556323878857</v>
      </c>
      <c r="AJ10" s="63">
        <v>138.60682614859286</v>
      </c>
      <c r="AK10" s="63">
        <v>4.0802165199869425</v>
      </c>
      <c r="AL10" s="63">
        <v>14.749735107375521</v>
      </c>
      <c r="AM10" s="63">
        <v>33.698888810189288</v>
      </c>
      <c r="AN10" s="63">
        <v>30.15889341482093</v>
      </c>
      <c r="AO10" s="63">
        <v>4.6834206706840238</v>
      </c>
      <c r="AP10" s="23">
        <v>1.2014014383182741</v>
      </c>
      <c r="AQ10" s="23">
        <v>0</v>
      </c>
      <c r="AR10" s="23">
        <v>0</v>
      </c>
      <c r="AS10" s="23">
        <v>0</v>
      </c>
      <c r="AT10" s="23">
        <v>1.0077079107505071</v>
      </c>
      <c r="AU10" s="23">
        <v>1.6614437417969214</v>
      </c>
      <c r="AV10" s="23">
        <v>0</v>
      </c>
      <c r="AW10" s="23">
        <v>1.0770514475382631</v>
      </c>
      <c r="AX10" s="23">
        <v>0.42274110271067672</v>
      </c>
      <c r="AY10" s="23">
        <v>0</v>
      </c>
      <c r="AZ10" s="23">
        <v>0.71042851254460848</v>
      </c>
      <c r="BA10" s="23">
        <v>0</v>
      </c>
      <c r="BB10" s="23">
        <v>0</v>
      </c>
      <c r="BC10" s="23">
        <v>0.28787110455467452</v>
      </c>
      <c r="BD10" s="23">
        <v>0</v>
      </c>
      <c r="BE10" s="23">
        <v>0</v>
      </c>
      <c r="BF10" s="23">
        <v>0</v>
      </c>
      <c r="BG10" s="23">
        <v>9.7921902354893628</v>
      </c>
      <c r="BH10" s="23">
        <v>1.2450250566758143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</v>
      </c>
      <c r="BP10" s="23">
        <v>0</v>
      </c>
      <c r="BQ10" s="23">
        <v>0</v>
      </c>
      <c r="BR10" s="23">
        <v>0</v>
      </c>
    </row>
    <row r="11" spans="1:70" x14ac:dyDescent="0.3">
      <c r="A11" s="63">
        <v>2017</v>
      </c>
      <c r="B11" s="382">
        <v>43013</v>
      </c>
      <c r="C11" s="382" t="s">
        <v>1719</v>
      </c>
      <c r="D11" s="63" t="s">
        <v>13</v>
      </c>
      <c r="E11" s="63" t="s">
        <v>1724</v>
      </c>
      <c r="F11" s="63" t="s">
        <v>195</v>
      </c>
      <c r="G11" s="63">
        <v>2017</v>
      </c>
      <c r="H11" s="63" t="s">
        <v>199</v>
      </c>
      <c r="I11" s="63" t="s">
        <v>200</v>
      </c>
      <c r="J11" s="63" t="s">
        <v>221</v>
      </c>
      <c r="K11" s="66">
        <f>AVERAGE(solesG0pools!H240:H250)</f>
        <v>9.5727272727272723</v>
      </c>
      <c r="L11" s="23">
        <f>STDEV(solesG0pools!H240:H250)</f>
        <v>0.90894544290722878</v>
      </c>
      <c r="N11" s="28">
        <f>AVERAGE(solesG0pools!J240:J250)</f>
        <v>6.8105636363636366</v>
      </c>
      <c r="O11" s="28">
        <f>STDEV(solesG0pools!J240:J250)</f>
        <v>1.666683528011679</v>
      </c>
      <c r="P11" s="63">
        <v>23.299999999999997</v>
      </c>
      <c r="Q11" s="63">
        <v>4</v>
      </c>
      <c r="T11" s="379">
        <v>22.113553618538887</v>
      </c>
      <c r="U11" s="378">
        <v>2.2799027570746961</v>
      </c>
      <c r="V11" s="378">
        <v>6.6149704989929017</v>
      </c>
      <c r="W11" s="63">
        <v>3.3887992340098481</v>
      </c>
      <c r="X11" s="63">
        <v>0.73051030837870512</v>
      </c>
      <c r="Y11" s="63">
        <v>11.760107783514346</v>
      </c>
      <c r="Z11" s="63">
        <v>21.31486698379495</v>
      </c>
      <c r="AA11" s="63">
        <v>37.883192043451317</v>
      </c>
      <c r="AB11" s="63">
        <v>82.149491618441658</v>
      </c>
      <c r="AC11" s="63">
        <v>11.668410223466362</v>
      </c>
      <c r="AD11" s="63">
        <v>60.598033001612166</v>
      </c>
      <c r="AE11" s="63">
        <v>64.321070321097537</v>
      </c>
      <c r="AF11" s="63">
        <v>15.022538251425392</v>
      </c>
      <c r="AG11" s="63">
        <v>10.218927848051099</v>
      </c>
      <c r="AH11" s="63">
        <v>92.94668386588917</v>
      </c>
      <c r="AI11" s="63">
        <v>55.608323477530803</v>
      </c>
      <c r="AJ11" s="63">
        <v>169.08235768008288</v>
      </c>
      <c r="AK11" s="63">
        <v>5.3945684432222354</v>
      </c>
      <c r="AL11" s="63">
        <v>17.550374528470215</v>
      </c>
      <c r="AM11" s="63">
        <v>43.436576628026046</v>
      </c>
      <c r="AN11" s="63">
        <v>33.441417047003071</v>
      </c>
      <c r="AO11" s="63">
        <v>5.1888681614056438</v>
      </c>
      <c r="AP11" s="23">
        <v>0</v>
      </c>
      <c r="AQ11" s="23">
        <v>0</v>
      </c>
      <c r="AR11" s="23">
        <v>0</v>
      </c>
      <c r="AS11" s="23">
        <v>0</v>
      </c>
      <c r="AT11" s="23">
        <v>2.0157079241139511</v>
      </c>
      <c r="AU11" s="23">
        <v>2.1663199141670941</v>
      </c>
      <c r="AV11" s="23">
        <v>0</v>
      </c>
      <c r="AW11" s="23">
        <v>1.5321173671689137</v>
      </c>
      <c r="AX11" s="23">
        <v>0.45284572683462454</v>
      </c>
      <c r="AY11" s="23">
        <v>1.2205057036539988</v>
      </c>
      <c r="AZ11" s="23">
        <v>0.96121299980981834</v>
      </c>
      <c r="BA11" s="23">
        <v>0</v>
      </c>
      <c r="BB11" s="23">
        <v>0.42434270725309592</v>
      </c>
      <c r="BC11" s="23">
        <v>0.77662721893491127</v>
      </c>
      <c r="BD11" s="23">
        <v>0</v>
      </c>
      <c r="BE11" s="23">
        <v>0</v>
      </c>
      <c r="BF11" s="23">
        <v>0</v>
      </c>
      <c r="BG11" s="23">
        <v>14.34216613260323</v>
      </c>
      <c r="BH11" s="23">
        <v>2.7980373617146492</v>
      </c>
      <c r="BI11" s="23">
        <v>0</v>
      </c>
      <c r="BJ11" s="23">
        <v>0</v>
      </c>
      <c r="BK11" s="23">
        <v>0</v>
      </c>
      <c r="BL11" s="23">
        <v>0</v>
      </c>
      <c r="BM11" s="23">
        <v>0.26453364240834509</v>
      </c>
      <c r="BN11" s="23">
        <v>0</v>
      </c>
      <c r="BO11" s="23">
        <v>0</v>
      </c>
      <c r="BP11" s="23">
        <v>0</v>
      </c>
      <c r="BQ11" s="23">
        <v>0</v>
      </c>
      <c r="BR11" s="23">
        <v>0</v>
      </c>
    </row>
    <row r="12" spans="1:70" x14ac:dyDescent="0.3">
      <c r="A12" s="63">
        <v>2017</v>
      </c>
      <c r="B12" s="382">
        <v>43013</v>
      </c>
      <c r="C12" s="382" t="s">
        <v>1719</v>
      </c>
      <c r="D12" s="63" t="s">
        <v>13</v>
      </c>
      <c r="E12" s="63" t="s">
        <v>1724</v>
      </c>
      <c r="F12" s="63" t="s">
        <v>195</v>
      </c>
      <c r="G12" s="63">
        <v>2017</v>
      </c>
      <c r="H12" s="63" t="s">
        <v>199</v>
      </c>
      <c r="I12" s="63" t="s">
        <v>201</v>
      </c>
      <c r="J12" s="63" t="s">
        <v>221</v>
      </c>
      <c r="K12" s="66">
        <f>AVERAGE(solesG0pools!H251:H260)</f>
        <v>9.870000000000001</v>
      </c>
      <c r="L12" s="23">
        <f>STDEV(solesG0pools!H251:H260)</f>
        <v>0.598238153989604</v>
      </c>
      <c r="N12" s="28">
        <f>AVERAGE(solesG0pools!J251:J260)</f>
        <v>7.7588200000000001</v>
      </c>
      <c r="O12" s="28">
        <f>STDEV(solesG0pools!J251:J260)</f>
        <v>1.387959165905901</v>
      </c>
      <c r="P12" s="63">
        <v>23.400000000000006</v>
      </c>
      <c r="Q12" s="63">
        <v>6.4</v>
      </c>
      <c r="T12" s="379">
        <v>101.60288638324614</v>
      </c>
      <c r="U12" s="378">
        <v>2.2708866952579685</v>
      </c>
      <c r="V12" s="378">
        <v>6.5888110574335279</v>
      </c>
      <c r="W12" s="63">
        <v>3.2829495605259389</v>
      </c>
      <c r="X12" s="63">
        <v>0.56007892286266592</v>
      </c>
      <c r="Y12" s="63">
        <v>13.206009390456703</v>
      </c>
      <c r="Z12" s="63">
        <v>19.034442519195355</v>
      </c>
      <c r="AA12" s="63">
        <v>40.075332842235099</v>
      </c>
      <c r="AB12" s="63">
        <v>85.388939054941162</v>
      </c>
      <c r="AC12" s="63">
        <v>11.489027001945701</v>
      </c>
      <c r="AD12" s="63">
        <v>65.0109570137395</v>
      </c>
      <c r="AE12" s="63">
        <v>62.95274474324242</v>
      </c>
      <c r="AF12" s="63">
        <v>16.0404918596589</v>
      </c>
      <c r="AG12" s="63">
        <v>10.3374663963752</v>
      </c>
      <c r="AH12" s="63">
        <v>94.832298125793997</v>
      </c>
      <c r="AI12" s="63">
        <v>56.032918150666703</v>
      </c>
      <c r="AJ12" s="63">
        <v>171.43470361527201</v>
      </c>
      <c r="AK12" s="63">
        <v>5.47879558094687</v>
      </c>
      <c r="AL12" s="63">
        <v>17.320351142679399</v>
      </c>
      <c r="AM12" s="63">
        <v>50.120591574792897</v>
      </c>
      <c r="AN12" s="63">
        <v>35.152376672407399</v>
      </c>
      <c r="AO12" s="63">
        <v>5.5328170009182998</v>
      </c>
      <c r="AP12" s="23">
        <v>0</v>
      </c>
      <c r="AQ12" s="23">
        <v>0</v>
      </c>
      <c r="AR12" s="23">
        <v>0</v>
      </c>
      <c r="AS12" s="23">
        <v>0</v>
      </c>
      <c r="AT12" s="23">
        <v>2.4602385685884687</v>
      </c>
      <c r="AU12" s="23">
        <v>2.1404408841071221</v>
      </c>
      <c r="AV12" s="23">
        <v>0</v>
      </c>
      <c r="AW12" s="23">
        <v>1.0040755467196818</v>
      </c>
      <c r="AX12" s="23">
        <v>0.44522862823061626</v>
      </c>
      <c r="AY12" s="23">
        <v>0.86510934393638173</v>
      </c>
      <c r="AZ12" s="23">
        <v>1.162313179745059</v>
      </c>
      <c r="BA12" s="23">
        <v>0</v>
      </c>
      <c r="BB12" s="23">
        <v>0.37574552683896623</v>
      </c>
      <c r="BC12" s="23">
        <v>0.70377733598409542</v>
      </c>
      <c r="BD12" s="23">
        <v>0</v>
      </c>
      <c r="BE12" s="23">
        <v>0</v>
      </c>
      <c r="BF12" s="23">
        <v>0</v>
      </c>
      <c r="BG12" s="23">
        <v>13.164467313764471</v>
      </c>
      <c r="BH12" s="23">
        <v>2.7890106420301723</v>
      </c>
      <c r="BI12" s="23">
        <v>0</v>
      </c>
      <c r="BJ12" s="23">
        <v>0</v>
      </c>
      <c r="BK12" s="23">
        <v>0</v>
      </c>
      <c r="BL12" s="23">
        <v>0</v>
      </c>
      <c r="BM12" s="23">
        <v>0.16520874751491052</v>
      </c>
      <c r="BN12" s="23">
        <v>0</v>
      </c>
      <c r="BO12" s="23">
        <v>0</v>
      </c>
      <c r="BP12" s="23">
        <v>0</v>
      </c>
      <c r="BQ12" s="23">
        <v>0</v>
      </c>
      <c r="BR12" s="23">
        <v>0</v>
      </c>
    </row>
    <row r="13" spans="1:70" x14ac:dyDescent="0.3">
      <c r="A13" s="63">
        <v>2017</v>
      </c>
      <c r="B13" s="382">
        <v>43013</v>
      </c>
      <c r="C13" s="382" t="s">
        <v>1719</v>
      </c>
      <c r="D13" s="63" t="s">
        <v>13</v>
      </c>
      <c r="E13" s="63" t="s">
        <v>1724</v>
      </c>
      <c r="F13" s="63" t="s">
        <v>195</v>
      </c>
      <c r="G13" s="63">
        <v>2017</v>
      </c>
      <c r="H13" s="63" t="s">
        <v>199</v>
      </c>
      <c r="I13" s="63" t="s">
        <v>202</v>
      </c>
      <c r="J13" s="63" t="s">
        <v>221</v>
      </c>
      <c r="K13" s="66">
        <f>AVERAGE(solesG0pools!H261:H269)</f>
        <v>12.633333333333333</v>
      </c>
      <c r="L13" s="23">
        <f>STDEV(solesG0pools!H261:H269)</f>
        <v>1.3610657588816171</v>
      </c>
      <c r="N13" s="28">
        <f>AVERAGE(solesG0pools!J261:J269)</f>
        <v>14.896277777777776</v>
      </c>
      <c r="O13" s="28">
        <f>STDEV(solesG0pools!J261:J269)</f>
        <v>4.8363908360930168</v>
      </c>
      <c r="P13" s="63">
        <v>24</v>
      </c>
      <c r="Q13" s="63">
        <v>7</v>
      </c>
      <c r="T13" s="379">
        <v>119.34490213997157</v>
      </c>
      <c r="U13" s="378">
        <v>2.0457895395088928</v>
      </c>
      <c r="V13" s="378">
        <v>5.9357081827311564</v>
      </c>
      <c r="W13" s="63">
        <v>4.7755807782655184</v>
      </c>
      <c r="X13" s="63">
        <v>1.3068583266060938</v>
      </c>
      <c r="Y13" s="63">
        <v>16.034278208929287</v>
      </c>
      <c r="Z13" s="63">
        <v>21.845766975816051</v>
      </c>
      <c r="AA13" s="63">
        <v>45.273959470158005</v>
      </c>
      <c r="AB13" s="63">
        <v>75.34928012454813</v>
      </c>
      <c r="AC13" s="63">
        <v>12.421306748127819</v>
      </c>
      <c r="AD13" s="63">
        <v>70.129488562634464</v>
      </c>
      <c r="AE13" s="63">
        <v>66.898996481789254</v>
      </c>
      <c r="AF13" s="63">
        <v>20.552156870184117</v>
      </c>
      <c r="AG13" s="63">
        <v>13.373518409896903</v>
      </c>
      <c r="AH13" s="63">
        <v>116.6187152039639</v>
      </c>
      <c r="AI13" s="63">
        <v>63.659937855107373</v>
      </c>
      <c r="AJ13" s="63">
        <v>216.72776506899595</v>
      </c>
      <c r="AK13" s="63">
        <v>6.0920140923796486</v>
      </c>
      <c r="AL13" s="63">
        <v>22.316548205980755</v>
      </c>
      <c r="AM13" s="63">
        <v>55.339054492813332</v>
      </c>
      <c r="AN13" s="63">
        <v>43.959925269158134</v>
      </c>
      <c r="AO13" s="63">
        <v>6.1484577537247826</v>
      </c>
      <c r="AP13" s="23">
        <v>0.66772328608525411</v>
      </c>
      <c r="AQ13" s="23">
        <v>0</v>
      </c>
      <c r="AR13" s="23">
        <v>1.3950943141200853</v>
      </c>
      <c r="AS13" s="23">
        <v>2.7600567140785803</v>
      </c>
      <c r="AT13" s="23">
        <v>6.716670921815397</v>
      </c>
      <c r="AU13" s="23">
        <v>3.3952584539056962</v>
      </c>
      <c r="AV13" s="23">
        <v>0</v>
      </c>
      <c r="AW13" s="23">
        <v>0.85246898747484445</v>
      </c>
      <c r="AX13" s="23">
        <v>0</v>
      </c>
      <c r="AY13" s="23">
        <v>0.96589373141501211</v>
      </c>
      <c r="AZ13" s="23">
        <v>1.8665396453237828</v>
      </c>
      <c r="BA13" s="23">
        <v>0</v>
      </c>
      <c r="BB13" s="23">
        <v>0.43657825969423003</v>
      </c>
      <c r="BC13" s="23">
        <v>0.67555492145496054</v>
      </c>
      <c r="BD13" s="23">
        <v>0</v>
      </c>
      <c r="BE13" s="23">
        <v>0</v>
      </c>
      <c r="BF13" s="23">
        <v>0</v>
      </c>
      <c r="BG13" s="23">
        <v>19.420073553705869</v>
      </c>
      <c r="BH13" s="23">
        <v>3.7060666789167835</v>
      </c>
      <c r="BI13" s="23">
        <v>0</v>
      </c>
      <c r="BJ13" s="23">
        <v>0</v>
      </c>
      <c r="BK13" s="23">
        <v>0</v>
      </c>
      <c r="BL13" s="23">
        <v>0</v>
      </c>
      <c r="BM13" s="23">
        <v>0.23077298531222779</v>
      </c>
      <c r="BN13" s="23">
        <v>0</v>
      </c>
      <c r="BO13" s="23">
        <v>0</v>
      </c>
      <c r="BP13" s="23">
        <v>0</v>
      </c>
      <c r="BQ13" s="23">
        <v>0</v>
      </c>
      <c r="BR13" s="23">
        <v>0</v>
      </c>
    </row>
    <row r="14" spans="1:70" x14ac:dyDescent="0.3">
      <c r="A14" s="63">
        <v>2017</v>
      </c>
      <c r="B14" s="382">
        <v>43021</v>
      </c>
      <c r="C14" s="382" t="s">
        <v>1719</v>
      </c>
      <c r="D14" s="63" t="s">
        <v>14</v>
      </c>
      <c r="E14" s="63" t="s">
        <v>1724</v>
      </c>
      <c r="F14" s="63" t="s">
        <v>195</v>
      </c>
      <c r="G14" s="63">
        <v>2017</v>
      </c>
      <c r="H14" s="63" t="s">
        <v>199</v>
      </c>
      <c r="I14" s="63" t="s">
        <v>203</v>
      </c>
      <c r="J14" s="63" t="s">
        <v>221</v>
      </c>
      <c r="K14" s="66">
        <f>AVERAGE(solesG0pools!H270:H277)</f>
        <v>9.6750000000000007</v>
      </c>
      <c r="L14" s="23">
        <f>STDEV(solesG0pools!H270:H277)</f>
        <v>0.80489573415265558</v>
      </c>
      <c r="N14" s="28">
        <f>AVERAGE(solesG0pools!J270:J277)</f>
        <v>7.6163874999999992</v>
      </c>
      <c r="O14" s="28">
        <f>STDEV(solesG0pools!J270:J277)</f>
        <v>1.8811975596393058</v>
      </c>
      <c r="P14" s="63">
        <v>22.200000000000003</v>
      </c>
      <c r="Q14" s="63">
        <v>3.9</v>
      </c>
      <c r="T14" s="379">
        <v>10.134863271606596</v>
      </c>
      <c r="U14" s="378">
        <v>2.2728418950872222</v>
      </c>
      <c r="V14" s="378">
        <v>6.5944839262214687</v>
      </c>
      <c r="W14" s="63">
        <v>1.1559439176289059</v>
      </c>
      <c r="X14" s="63">
        <v>0.14887720995149045</v>
      </c>
      <c r="Y14" s="63">
        <v>4.0341526084159653</v>
      </c>
      <c r="Z14" s="63">
        <v>5.9769301178768748</v>
      </c>
      <c r="AA14" s="63">
        <v>11.42906427101769</v>
      </c>
      <c r="AB14" s="63">
        <v>33.600783338816164</v>
      </c>
      <c r="AC14" s="63">
        <v>5.0390345378467973</v>
      </c>
      <c r="AD14" s="63">
        <v>25.60862140322838</v>
      </c>
      <c r="AE14" s="63">
        <v>29.140668740772373</v>
      </c>
      <c r="AF14" s="63">
        <v>8.6166630621198266</v>
      </c>
      <c r="AG14" s="63">
        <v>6.0694201539202091</v>
      </c>
      <c r="AH14" s="63">
        <v>50.415308026834097</v>
      </c>
      <c r="AI14" s="63">
        <v>29.068991054043202</v>
      </c>
      <c r="AJ14" s="63">
        <v>99.843520752904851</v>
      </c>
      <c r="AK14" s="63">
        <v>2.6995188857043102</v>
      </c>
      <c r="AL14" s="63">
        <v>9.8223652746311316</v>
      </c>
      <c r="AM14" s="63">
        <v>20.641460240817707</v>
      </c>
      <c r="AN14" s="63">
        <v>23.669028371619518</v>
      </c>
      <c r="AO14" s="63">
        <v>3.37986475233622</v>
      </c>
      <c r="AP14" s="23">
        <v>0</v>
      </c>
      <c r="AQ14" s="23">
        <v>0</v>
      </c>
      <c r="AR14" s="23">
        <v>0</v>
      </c>
      <c r="AS14" s="23">
        <v>0</v>
      </c>
      <c r="AT14" s="23">
        <v>1.2047345928924875</v>
      </c>
      <c r="AU14" s="23">
        <v>1.7968837818528218</v>
      </c>
      <c r="AV14" s="23">
        <v>0</v>
      </c>
      <c r="AW14" s="23">
        <v>0.73633603238866396</v>
      </c>
      <c r="AX14" s="23">
        <v>0.31067251461988299</v>
      </c>
      <c r="AY14" s="23">
        <v>1.0011808367071526</v>
      </c>
      <c r="AZ14" s="23">
        <v>0.88413418538805533</v>
      </c>
      <c r="BA14" s="23">
        <v>0</v>
      </c>
      <c r="BB14" s="23">
        <v>0.27693432298695453</v>
      </c>
      <c r="BC14" s="23">
        <v>0.28311965811965811</v>
      </c>
      <c r="BD14" s="23">
        <v>0</v>
      </c>
      <c r="BE14" s="23">
        <v>0</v>
      </c>
      <c r="BF14" s="23">
        <v>0</v>
      </c>
      <c r="BG14" s="23">
        <v>10.075180201635309</v>
      </c>
      <c r="BH14" s="23">
        <v>1.228065015479876</v>
      </c>
      <c r="BI14" s="23">
        <v>0</v>
      </c>
      <c r="BJ14" s="23">
        <v>0</v>
      </c>
      <c r="BK14" s="23">
        <v>0</v>
      </c>
      <c r="BL14" s="23">
        <v>0</v>
      </c>
      <c r="BM14" s="23">
        <v>0</v>
      </c>
      <c r="BN14" s="23">
        <v>0</v>
      </c>
      <c r="BO14" s="23">
        <v>0</v>
      </c>
      <c r="BP14" s="23">
        <v>0</v>
      </c>
      <c r="BQ14" s="23">
        <v>0</v>
      </c>
      <c r="BR14" s="23">
        <v>0</v>
      </c>
    </row>
    <row r="15" spans="1:70" x14ac:dyDescent="0.3">
      <c r="A15" s="63">
        <v>2017</v>
      </c>
      <c r="B15" s="382">
        <v>43021</v>
      </c>
      <c r="C15" s="382" t="s">
        <v>1719</v>
      </c>
      <c r="D15" s="63" t="s">
        <v>14</v>
      </c>
      <c r="E15" s="63" t="s">
        <v>1724</v>
      </c>
      <c r="F15" s="63" t="s">
        <v>195</v>
      </c>
      <c r="G15" s="63">
        <v>2017</v>
      </c>
      <c r="H15" s="63" t="s">
        <v>199</v>
      </c>
      <c r="I15" s="63" t="s">
        <v>204</v>
      </c>
      <c r="J15" s="63" t="s">
        <v>221</v>
      </c>
      <c r="K15" s="66">
        <f>AVERAGE(solesG0pools!H278:H283)</f>
        <v>10.016666666666667</v>
      </c>
      <c r="L15" s="23">
        <f>STDEV(solesG0pools!H278:H283)</f>
        <v>0.60138728508895711</v>
      </c>
      <c r="N15" s="28">
        <f>AVERAGE(solesG0pools!J278:J283)</f>
        <v>7.7155000000000014</v>
      </c>
      <c r="O15" s="28">
        <f>STDEV(solesG0pools!J278:J283)</f>
        <v>1.2019653489181716</v>
      </c>
      <c r="P15" s="63">
        <v>22.5</v>
      </c>
      <c r="Q15" s="63">
        <v>5.7</v>
      </c>
      <c r="T15" s="379">
        <v>11.199412890635807</v>
      </c>
      <c r="U15" s="378">
        <v>2.2339596699940065</v>
      </c>
      <c r="V15" s="378">
        <v>6.4816700041676887</v>
      </c>
      <c r="W15" s="63">
        <v>0.7986384515234134</v>
      </c>
      <c r="X15" s="63">
        <v>3.4211963003421469E-2</v>
      </c>
      <c r="Y15" s="63">
        <v>2.6481222903519064</v>
      </c>
      <c r="Z15" s="63">
        <v>3.791915705077078</v>
      </c>
      <c r="AA15" s="63">
        <v>7.6774771491286167</v>
      </c>
      <c r="AB15" s="63">
        <v>27.536059315928494</v>
      </c>
      <c r="AC15" s="63">
        <v>4.7937177395901625</v>
      </c>
      <c r="AD15" s="63">
        <v>20.376115768311642</v>
      </c>
      <c r="AE15" s="63">
        <v>28.148252109095232</v>
      </c>
      <c r="AF15" s="63">
        <v>8.1284013546108937</v>
      </c>
      <c r="AG15" s="63">
        <v>4.0548240406513596</v>
      </c>
      <c r="AH15" s="63">
        <v>46.426485977029415</v>
      </c>
      <c r="AI15" s="63">
        <v>23.218154282009749</v>
      </c>
      <c r="AJ15" s="63">
        <v>92.536846048345467</v>
      </c>
      <c r="AK15" s="63">
        <v>2.2492230027351034</v>
      </c>
      <c r="AL15" s="63">
        <v>8.2885991768028582</v>
      </c>
      <c r="AM15" s="63">
        <v>14.703130714312698</v>
      </c>
      <c r="AN15" s="63">
        <v>19.661087635431009</v>
      </c>
      <c r="AO15" s="63">
        <v>2.4800558196617644</v>
      </c>
      <c r="AP15" s="23">
        <v>0</v>
      </c>
      <c r="AQ15" s="23">
        <v>0</v>
      </c>
      <c r="AR15" s="23">
        <v>0</v>
      </c>
      <c r="AS15" s="23">
        <v>0</v>
      </c>
      <c r="AT15" s="23">
        <v>0.81709916589434661</v>
      </c>
      <c r="AU15" s="23">
        <v>0.61770048519871346</v>
      </c>
      <c r="AV15" s="23">
        <v>0</v>
      </c>
      <c r="AW15" s="23">
        <v>0.46547729379054681</v>
      </c>
      <c r="AX15" s="23">
        <v>0.19008341056533828</v>
      </c>
      <c r="AY15" s="23">
        <v>0</v>
      </c>
      <c r="AZ15" s="23">
        <v>0.46397372294608302</v>
      </c>
      <c r="BA15" s="23">
        <v>0</v>
      </c>
      <c r="BB15" s="23">
        <v>0</v>
      </c>
      <c r="BC15" s="23">
        <v>0</v>
      </c>
      <c r="BD15" s="23">
        <v>0</v>
      </c>
      <c r="BE15" s="23">
        <v>0</v>
      </c>
      <c r="BF15" s="23">
        <v>0</v>
      </c>
      <c r="BG15" s="23">
        <v>3.6485869268930924</v>
      </c>
      <c r="BH15" s="23">
        <v>0.88191081066346833</v>
      </c>
      <c r="BI15" s="23">
        <v>0</v>
      </c>
      <c r="BJ15" s="23">
        <v>0</v>
      </c>
      <c r="BK15" s="23">
        <v>0</v>
      </c>
      <c r="BL15" s="23">
        <v>0</v>
      </c>
      <c r="BM15" s="23">
        <v>0</v>
      </c>
      <c r="BN15" s="23">
        <v>0</v>
      </c>
      <c r="BO15" s="23">
        <v>0</v>
      </c>
      <c r="BP15" s="23">
        <v>0</v>
      </c>
      <c r="BQ15" s="23">
        <v>0</v>
      </c>
      <c r="BR15" s="23">
        <v>0</v>
      </c>
    </row>
    <row r="16" spans="1:70" x14ac:dyDescent="0.3">
      <c r="A16" s="63">
        <v>2017</v>
      </c>
      <c r="B16" s="382">
        <v>43021</v>
      </c>
      <c r="C16" s="382" t="s">
        <v>1719</v>
      </c>
      <c r="D16" s="63" t="s">
        <v>14</v>
      </c>
      <c r="E16" s="63" t="s">
        <v>1724</v>
      </c>
      <c r="F16" s="63" t="s">
        <v>195</v>
      </c>
      <c r="G16" s="63">
        <v>2017</v>
      </c>
      <c r="H16" s="63" t="s">
        <v>199</v>
      </c>
      <c r="I16" s="63" t="s">
        <v>205</v>
      </c>
      <c r="J16" s="63" t="s">
        <v>221</v>
      </c>
      <c r="K16" s="66">
        <f>AVERAGE(solesG0pools!H284:H293)</f>
        <v>12.379999999999999</v>
      </c>
      <c r="L16" s="23">
        <f>STDEV(solesG0pools!H284:H293)</f>
        <v>1.1961047891663448</v>
      </c>
      <c r="N16" s="28">
        <f>AVERAGE(solesG0pools!J284:J293)</f>
        <v>16.835380000000001</v>
      </c>
      <c r="O16" s="28">
        <f>STDEV(solesG0pools!J284:J293)</f>
        <v>6.669225950388344</v>
      </c>
      <c r="P16" s="63">
        <v>23</v>
      </c>
      <c r="Q16" s="63">
        <v>5.8</v>
      </c>
      <c r="T16" s="379">
        <v>38.849755532895323</v>
      </c>
      <c r="U16" s="378">
        <v>2.1046671536463029</v>
      </c>
      <c r="V16" s="379">
        <v>7.8472711639422439</v>
      </c>
      <c r="W16" s="63">
        <v>1.8564091040859592</v>
      </c>
      <c r="X16" s="63">
        <v>0.24382332131972587</v>
      </c>
      <c r="Y16" s="63">
        <v>6.257198035150676</v>
      </c>
      <c r="Z16" s="63">
        <v>9.3646600209558315</v>
      </c>
      <c r="AA16" s="63">
        <v>17.413242259573373</v>
      </c>
      <c r="AB16" s="63">
        <v>45.185540811023188</v>
      </c>
      <c r="AC16" s="63">
        <v>6.3207343971559977</v>
      </c>
      <c r="AD16" s="63">
        <v>39.702314784525711</v>
      </c>
      <c r="AE16" s="63">
        <v>44.522644226849806</v>
      </c>
      <c r="AF16" s="63">
        <v>10.116474763734265</v>
      </c>
      <c r="AG16" s="63">
        <v>10.392692355901367</v>
      </c>
      <c r="AH16" s="63">
        <v>60.880760846377626</v>
      </c>
      <c r="AI16" s="63">
        <v>42.33649225093427</v>
      </c>
      <c r="AJ16" s="63">
        <v>123.85777768197671</v>
      </c>
      <c r="AK16" s="63">
        <v>3.0019050610192761</v>
      </c>
      <c r="AL16" s="63">
        <v>9.187091367897871</v>
      </c>
      <c r="AM16" s="63">
        <v>13.274942034600013</v>
      </c>
      <c r="AN16" s="63">
        <v>26.851889879438978</v>
      </c>
      <c r="AO16" s="63">
        <v>2.6597221303620624</v>
      </c>
      <c r="AP16" s="23">
        <v>0</v>
      </c>
      <c r="AQ16" s="23">
        <v>0</v>
      </c>
      <c r="AR16" s="23">
        <v>0</v>
      </c>
      <c r="AS16" s="23">
        <v>0</v>
      </c>
      <c r="AT16" s="23">
        <v>0.69038691571586297</v>
      </c>
      <c r="AU16" s="23">
        <v>0.6648406547013358</v>
      </c>
      <c r="AV16" s="23">
        <v>0</v>
      </c>
      <c r="AW16" s="23">
        <v>0.36258971291866021</v>
      </c>
      <c r="AX16" s="23">
        <v>0.23750920132499079</v>
      </c>
      <c r="AY16" s="23">
        <v>0.33901131762973868</v>
      </c>
      <c r="AZ16" s="23">
        <v>0.49936984455173317</v>
      </c>
      <c r="BA16" s="23">
        <v>0</v>
      </c>
      <c r="BB16" s="23">
        <v>0</v>
      </c>
      <c r="BC16" s="23">
        <v>0.22140688259109309</v>
      </c>
      <c r="BD16" s="23">
        <v>0</v>
      </c>
      <c r="BE16" s="23">
        <v>0</v>
      </c>
      <c r="BF16" s="23">
        <v>0</v>
      </c>
      <c r="BG16" s="23">
        <v>2.4238017980471538</v>
      </c>
      <c r="BH16" s="23">
        <v>0</v>
      </c>
      <c r="BI16" s="23">
        <v>0</v>
      </c>
      <c r="BJ16" s="23">
        <v>0</v>
      </c>
      <c r="BK16" s="23">
        <v>0</v>
      </c>
      <c r="BL16" s="23">
        <v>0</v>
      </c>
      <c r="BM16" s="23">
        <v>0</v>
      </c>
      <c r="BN16" s="23">
        <v>0</v>
      </c>
      <c r="BO16" s="23">
        <v>0</v>
      </c>
      <c r="BP16" s="23">
        <v>0</v>
      </c>
      <c r="BQ16" s="23">
        <v>0</v>
      </c>
      <c r="BR16" s="23">
        <v>0</v>
      </c>
    </row>
    <row r="17" spans="1:70" s="531" customFormat="1" x14ac:dyDescent="0.3">
      <c r="A17" s="531">
        <v>2017</v>
      </c>
      <c r="B17" s="478">
        <v>43021</v>
      </c>
      <c r="C17" s="382" t="s">
        <v>1719</v>
      </c>
      <c r="D17" s="531" t="s">
        <v>14</v>
      </c>
      <c r="E17" s="63" t="s">
        <v>1724</v>
      </c>
      <c r="F17" s="531" t="s">
        <v>195</v>
      </c>
      <c r="G17" s="63">
        <v>2017</v>
      </c>
      <c r="H17" s="531" t="s">
        <v>199</v>
      </c>
      <c r="I17" s="531" t="s">
        <v>206</v>
      </c>
      <c r="J17" s="531" t="s">
        <v>221</v>
      </c>
      <c r="K17" s="532">
        <f>AVERAGE(solesG0pools!H294:H304)</f>
        <v>13.372727272727275</v>
      </c>
      <c r="L17" s="533">
        <f>STDEV(solesG0pools!H294:H304)</f>
        <v>1.4304481179622694</v>
      </c>
      <c r="M17" s="532"/>
      <c r="N17" s="534">
        <f>AVERAGE(solesG0pools!J294:J304)</f>
        <v>20.920636363636365</v>
      </c>
      <c r="O17" s="534">
        <f>STDEV(solesG0pools!J294:J304)</f>
        <v>6.7520428208465511</v>
      </c>
      <c r="P17" s="63">
        <v>23.200000000000003</v>
      </c>
      <c r="Q17" s="531">
        <v>5.8</v>
      </c>
      <c r="T17" s="535">
        <v>45.30863232703544</v>
      </c>
      <c r="U17" s="536">
        <v>2.0890020997786531</v>
      </c>
      <c r="V17" s="536">
        <v>6.0610862544420678</v>
      </c>
      <c r="W17" s="531">
        <v>1.9241808773211184</v>
      </c>
      <c r="X17" s="531">
        <v>0.22096477063215703</v>
      </c>
      <c r="Y17" s="531">
        <v>6.5632103427662969</v>
      </c>
      <c r="Z17" s="531">
        <v>10.125241776397798</v>
      </c>
      <c r="AA17" s="531">
        <v>17.812368329982171</v>
      </c>
      <c r="AB17" s="531">
        <v>43.686402059343663</v>
      </c>
      <c r="AC17" s="531">
        <v>6.1152659717768545</v>
      </c>
      <c r="AD17" s="531">
        <v>36.328442010297195</v>
      </c>
      <c r="AE17" s="531">
        <v>38.590359138058375</v>
      </c>
      <c r="AF17" s="531">
        <v>9.8199650666899636</v>
      </c>
      <c r="AG17" s="531">
        <v>9.5847839094356964</v>
      </c>
      <c r="AH17" s="531">
        <v>59.697144376594125</v>
      </c>
      <c r="AI17" s="531">
        <v>39.083761288562457</v>
      </c>
      <c r="AJ17" s="531">
        <v>119.25541056795939</v>
      </c>
      <c r="AK17" s="531">
        <v>3.1790658351551069</v>
      </c>
      <c r="AL17" s="531">
        <v>10.208001638631188</v>
      </c>
      <c r="AM17" s="531">
        <v>20.364813302024508</v>
      </c>
      <c r="AN17" s="531">
        <v>27.071643164014969</v>
      </c>
      <c r="AO17" s="531">
        <v>3.4189940940425139</v>
      </c>
      <c r="AP17" s="533">
        <v>0.6554684116039784</v>
      </c>
      <c r="AQ17" s="533">
        <v>0</v>
      </c>
      <c r="AR17" s="533">
        <v>0</v>
      </c>
      <c r="AS17" s="533">
        <v>0</v>
      </c>
      <c r="AT17" s="533">
        <v>1.0928650624793983</v>
      </c>
      <c r="AU17" s="533">
        <v>1.5662990232801641</v>
      </c>
      <c r="AV17" s="533">
        <v>0</v>
      </c>
      <c r="AW17" s="533">
        <v>0.54208744119145369</v>
      </c>
      <c r="AX17" s="533">
        <v>0.23493452398789366</v>
      </c>
      <c r="AY17" s="533">
        <v>0</v>
      </c>
      <c r="AZ17" s="533">
        <v>0.70145723567662654</v>
      </c>
      <c r="BA17" s="533">
        <v>0</v>
      </c>
      <c r="BB17" s="533">
        <v>0</v>
      </c>
      <c r="BC17" s="533">
        <v>0.43151239099817201</v>
      </c>
      <c r="BD17" s="533">
        <v>0</v>
      </c>
      <c r="BE17" s="533">
        <v>0</v>
      </c>
      <c r="BF17" s="533">
        <v>0</v>
      </c>
      <c r="BG17" s="533">
        <v>9.3637067760489447</v>
      </c>
      <c r="BH17" s="533">
        <v>0.79479047499854583</v>
      </c>
      <c r="BI17" s="533">
        <v>0</v>
      </c>
      <c r="BJ17" s="533">
        <v>0</v>
      </c>
      <c r="BK17" s="533">
        <v>0</v>
      </c>
      <c r="BL17" s="533">
        <v>0</v>
      </c>
      <c r="BM17" s="533">
        <v>0.13514728356956637</v>
      </c>
      <c r="BN17" s="533">
        <v>0</v>
      </c>
      <c r="BO17" s="533">
        <v>0</v>
      </c>
      <c r="BP17" s="533">
        <v>0</v>
      </c>
      <c r="BQ17" s="533">
        <v>0</v>
      </c>
      <c r="BR17" s="533">
        <v>0</v>
      </c>
    </row>
    <row r="18" spans="1:70" x14ac:dyDescent="0.3">
      <c r="A18" s="63">
        <v>2017</v>
      </c>
      <c r="B18" s="382">
        <v>43020</v>
      </c>
      <c r="C18" s="382" t="s">
        <v>1719</v>
      </c>
      <c r="D18" s="63" t="s">
        <v>3</v>
      </c>
      <c r="E18" s="63" t="s">
        <v>1724</v>
      </c>
      <c r="F18" s="63" t="s">
        <v>196</v>
      </c>
      <c r="G18" s="63">
        <v>2016</v>
      </c>
      <c r="H18" s="63" t="s">
        <v>216</v>
      </c>
      <c r="I18" s="63" t="s">
        <v>100</v>
      </c>
      <c r="J18" s="63" t="s">
        <v>213</v>
      </c>
      <c r="K18" s="66">
        <v>19.600000000000001</v>
      </c>
      <c r="N18" s="28">
        <v>82.2</v>
      </c>
      <c r="P18" s="63">
        <v>24.294626304180142</v>
      </c>
      <c r="Q18" s="63">
        <v>9.9</v>
      </c>
      <c r="T18" s="379">
        <v>82.003710233172299</v>
      </c>
      <c r="U18" s="378">
        <v>2.2147420810563534</v>
      </c>
      <c r="V18" s="378">
        <v>7.8615717701067664</v>
      </c>
      <c r="W18" s="63">
        <v>2.2395924563043637</v>
      </c>
      <c r="X18" s="63">
        <v>0.54985889714821123</v>
      </c>
      <c r="Y18" s="63">
        <v>4.7059950642525248</v>
      </c>
      <c r="Z18" s="63">
        <v>8.140214215683141</v>
      </c>
      <c r="AA18" s="63">
        <v>13.022056785397346</v>
      </c>
      <c r="AB18" s="63">
        <v>32.709595342458442</v>
      </c>
      <c r="AC18" s="63">
        <v>6.6674682436842305</v>
      </c>
      <c r="AD18" s="63">
        <v>23.779791276146128</v>
      </c>
      <c r="AE18" s="63">
        <v>30.792743765606289</v>
      </c>
      <c r="AF18" s="63">
        <v>8.3151688270003703</v>
      </c>
      <c r="AG18" s="63">
        <v>4.6970178236850337</v>
      </c>
      <c r="AH18" s="63">
        <v>46.838333195308294</v>
      </c>
      <c r="AI18" s="63">
        <v>26.722478625403056</v>
      </c>
      <c r="AJ18" s="63">
        <v>80.905374453567347</v>
      </c>
      <c r="AK18" s="63">
        <v>1.9752300490117092</v>
      </c>
      <c r="AL18" s="63">
        <v>6.6752841630266424</v>
      </c>
      <c r="AM18" s="63">
        <v>9.9886215600569752</v>
      </c>
      <c r="AN18" s="63">
        <v>23.446606555567932</v>
      </c>
      <c r="AO18" s="63">
        <v>2.1415080956916031</v>
      </c>
      <c r="AP18" s="23">
        <v>0.49521117914900298</v>
      </c>
      <c r="AQ18" s="23">
        <v>0</v>
      </c>
      <c r="AR18" s="23">
        <v>0</v>
      </c>
      <c r="AS18" s="23">
        <v>0</v>
      </c>
      <c r="AT18" s="23">
        <v>0.83592400690846291</v>
      </c>
      <c r="AU18" s="23">
        <v>0.98715801723421348</v>
      </c>
      <c r="AV18" s="23">
        <v>0.34154015242098146</v>
      </c>
      <c r="AW18" s="23">
        <v>0.76621133615952264</v>
      </c>
      <c r="AX18" s="23">
        <v>0</v>
      </c>
      <c r="AY18" s="23">
        <v>0</v>
      </c>
      <c r="AZ18" s="23">
        <v>0.71756615222631681</v>
      </c>
      <c r="BA18" s="23">
        <v>0</v>
      </c>
      <c r="BB18" s="23">
        <v>0</v>
      </c>
      <c r="BC18" s="23">
        <v>0</v>
      </c>
      <c r="BD18" s="23">
        <v>0</v>
      </c>
      <c r="BE18" s="23">
        <v>0</v>
      </c>
      <c r="BF18" s="23">
        <v>0</v>
      </c>
      <c r="BG18" s="23">
        <v>6.6152610530787914</v>
      </c>
      <c r="BH18" s="23">
        <v>0.88339549102731041</v>
      </c>
      <c r="BI18" s="23">
        <v>0</v>
      </c>
      <c r="BJ18" s="23">
        <v>0</v>
      </c>
      <c r="BK18" s="23">
        <v>0</v>
      </c>
      <c r="BL18" s="23">
        <v>0</v>
      </c>
      <c r="BM18" s="23">
        <v>0</v>
      </c>
      <c r="BN18" s="23">
        <v>0</v>
      </c>
      <c r="BO18" s="23">
        <v>0</v>
      </c>
      <c r="BP18" s="23">
        <v>0</v>
      </c>
      <c r="BQ18" s="23">
        <v>0</v>
      </c>
      <c r="BR18" s="23">
        <v>0</v>
      </c>
    </row>
    <row r="19" spans="1:70" x14ac:dyDescent="0.3">
      <c r="A19" s="63">
        <v>2017</v>
      </c>
      <c r="B19" s="382">
        <v>43012</v>
      </c>
      <c r="C19" s="382" t="s">
        <v>1719</v>
      </c>
      <c r="D19" s="63" t="s">
        <v>3</v>
      </c>
      <c r="E19" s="63" t="s">
        <v>1724</v>
      </c>
      <c r="F19" s="63" t="s">
        <v>196</v>
      </c>
      <c r="G19" s="63">
        <v>2016</v>
      </c>
      <c r="H19" s="63" t="s">
        <v>216</v>
      </c>
      <c r="I19" s="63" t="s">
        <v>101</v>
      </c>
      <c r="J19" s="63" t="s">
        <v>210</v>
      </c>
      <c r="K19" s="66">
        <v>19.8</v>
      </c>
      <c r="N19" s="28">
        <v>71.2</v>
      </c>
      <c r="P19" s="63">
        <v>24.444410502359815</v>
      </c>
      <c r="Q19" s="63">
        <v>12.3</v>
      </c>
      <c r="T19" s="379">
        <v>68.021978161599705</v>
      </c>
      <c r="U19" s="378">
        <v>2.211718643403338</v>
      </c>
      <c r="V19" s="378">
        <v>7.8508396075200118</v>
      </c>
      <c r="W19" s="63">
        <v>4.1131662544737067</v>
      </c>
      <c r="X19" s="63">
        <v>0.50236787893636337</v>
      </c>
      <c r="Y19" s="63">
        <v>15.851303030642519</v>
      </c>
      <c r="Z19" s="63">
        <v>24.937482336414284</v>
      </c>
      <c r="AA19" s="63">
        <v>57.546006452184493</v>
      </c>
      <c r="AB19" s="63">
        <v>116.64893749008333</v>
      </c>
      <c r="AC19" s="63">
        <v>18.946924130563509</v>
      </c>
      <c r="AD19" s="63">
        <v>91.039415416066035</v>
      </c>
      <c r="AE19" s="63">
        <v>101.21980238423242</v>
      </c>
      <c r="AF19" s="63">
        <v>22.362613227608861</v>
      </c>
      <c r="AG19" s="63">
        <v>20.264900196488774</v>
      </c>
      <c r="AH19" s="63">
        <v>133.72009174365297</v>
      </c>
      <c r="AI19" s="63">
        <v>79.841837939537356</v>
      </c>
      <c r="AJ19" s="63">
        <v>232.20319656228759</v>
      </c>
      <c r="AK19" s="63">
        <v>7.5766838897875122</v>
      </c>
      <c r="AL19" s="63">
        <v>22.122361908861684</v>
      </c>
      <c r="AM19" s="63">
        <v>47.946090730367217</v>
      </c>
      <c r="AN19" s="63">
        <v>48.532396809625666</v>
      </c>
      <c r="AO19" s="63">
        <v>6.6414337083806529</v>
      </c>
      <c r="AP19" s="23">
        <v>0</v>
      </c>
      <c r="AQ19" s="23">
        <v>0</v>
      </c>
      <c r="AR19" s="23">
        <v>0</v>
      </c>
      <c r="AS19" s="23">
        <v>0</v>
      </c>
      <c r="AT19" s="23">
        <v>1.1425669302764274</v>
      </c>
      <c r="AU19" s="23">
        <v>1.204746682827524</v>
      </c>
      <c r="AV19" s="23">
        <v>0.29916731313379358</v>
      </c>
      <c r="AW19" s="23">
        <v>0.7478415439309295</v>
      </c>
      <c r="AX19" s="23">
        <v>0.51421134731190599</v>
      </c>
      <c r="AY19" s="23">
        <v>0.47485126605238331</v>
      </c>
      <c r="AZ19" s="23">
        <v>0.98810651228495472</v>
      </c>
      <c r="BA19" s="23">
        <v>0</v>
      </c>
      <c r="BB19" s="23">
        <v>0</v>
      </c>
      <c r="BC19" s="23">
        <v>0.1442265834723935</v>
      </c>
      <c r="BD19" s="23">
        <v>0</v>
      </c>
      <c r="BE19" s="23">
        <v>0</v>
      </c>
      <c r="BF19" s="23">
        <v>0</v>
      </c>
      <c r="BG19" s="23">
        <v>6.3655858026298375</v>
      </c>
      <c r="BH19" s="23">
        <v>0</v>
      </c>
      <c r="BI19" s="23">
        <v>0</v>
      </c>
      <c r="BJ19" s="23">
        <v>0</v>
      </c>
      <c r="BK19" s="23">
        <v>0</v>
      </c>
      <c r="BL19" s="23">
        <v>0</v>
      </c>
      <c r="BM19" s="23">
        <v>0</v>
      </c>
      <c r="BN19" s="23">
        <v>0</v>
      </c>
      <c r="BO19" s="23">
        <v>0</v>
      </c>
      <c r="BP19" s="23">
        <v>0</v>
      </c>
      <c r="BQ19" s="23">
        <v>0</v>
      </c>
      <c r="BR19" s="23">
        <v>0</v>
      </c>
    </row>
    <row r="20" spans="1:70" x14ac:dyDescent="0.3">
      <c r="A20" s="63">
        <v>2017</v>
      </c>
      <c r="B20" s="382">
        <v>43020</v>
      </c>
      <c r="C20" s="382" t="s">
        <v>1719</v>
      </c>
      <c r="D20" s="63" t="s">
        <v>3</v>
      </c>
      <c r="E20" s="63" t="s">
        <v>1724</v>
      </c>
      <c r="F20" s="63" t="s">
        <v>196</v>
      </c>
      <c r="G20" s="63">
        <v>2016</v>
      </c>
      <c r="H20" s="63" t="s">
        <v>216</v>
      </c>
      <c r="I20" s="63" t="s">
        <v>105</v>
      </c>
      <c r="J20" s="63" t="s">
        <v>213</v>
      </c>
      <c r="K20" s="66">
        <v>19.5</v>
      </c>
      <c r="N20" s="28">
        <v>73.8</v>
      </c>
      <c r="P20" s="63">
        <v>23.403040468203528</v>
      </c>
      <c r="Q20" s="63">
        <v>5.0999999999999996</v>
      </c>
      <c r="T20" s="379">
        <v>39.324473772148153</v>
      </c>
      <c r="U20" s="378">
        <v>2.0496455837421657</v>
      </c>
      <c r="V20" s="378">
        <v>7.6907127868863263</v>
      </c>
      <c r="W20" s="63">
        <v>1.3993888219004349</v>
      </c>
      <c r="X20" s="63">
        <v>0.27015766359354093</v>
      </c>
      <c r="Y20" s="63">
        <v>3.0298942942709353</v>
      </c>
      <c r="Z20" s="63">
        <v>5.6830620784932062</v>
      </c>
      <c r="AA20" s="63">
        <v>10.596153636669481</v>
      </c>
      <c r="AB20" s="63">
        <v>30.575806986115605</v>
      </c>
      <c r="AC20" s="63">
        <v>5.6214323567352578</v>
      </c>
      <c r="AD20" s="63">
        <v>22.180545995818925</v>
      </c>
      <c r="AE20" s="63">
        <v>27.136555084427194</v>
      </c>
      <c r="AF20" s="63">
        <v>8.3660334396615035</v>
      </c>
      <c r="AG20" s="63">
        <v>5.0073153284615177</v>
      </c>
      <c r="AH20" s="63">
        <v>49.211681933177275</v>
      </c>
      <c r="AI20" s="63">
        <v>25.532300165494927</v>
      </c>
      <c r="AJ20" s="63">
        <v>85.240424793925413</v>
      </c>
      <c r="AK20" s="63">
        <v>1.7262929539282938</v>
      </c>
      <c r="AL20" s="63">
        <v>6.2536734422030618</v>
      </c>
      <c r="AM20" s="63">
        <v>12.728660422186001</v>
      </c>
      <c r="AN20" s="63">
        <v>24.903382311028032</v>
      </c>
      <c r="AO20" s="63">
        <v>2.2990107844347536</v>
      </c>
      <c r="AP20" s="23">
        <v>0.47852282126475676</v>
      </c>
      <c r="AQ20" s="23">
        <v>0</v>
      </c>
      <c r="AR20" s="23">
        <v>0</v>
      </c>
      <c r="AS20" s="23">
        <v>0</v>
      </c>
      <c r="AT20" s="23">
        <v>0.68755169561621177</v>
      </c>
      <c r="AU20" s="23">
        <v>1.4167013331387146</v>
      </c>
      <c r="AV20" s="23">
        <v>0.45764140739326842</v>
      </c>
      <c r="AW20" s="23">
        <v>0.79394127377998358</v>
      </c>
      <c r="AX20" s="23">
        <v>0.60395988420181967</v>
      </c>
      <c r="AY20" s="23">
        <v>0</v>
      </c>
      <c r="AZ20" s="23">
        <v>0.61304493261324389</v>
      </c>
      <c r="BA20" s="23">
        <v>0</v>
      </c>
      <c r="BB20" s="23">
        <v>0</v>
      </c>
      <c r="BC20" s="23">
        <v>0</v>
      </c>
      <c r="BD20" s="23">
        <v>0</v>
      </c>
      <c r="BE20" s="23">
        <v>0</v>
      </c>
      <c r="BF20" s="23">
        <v>0</v>
      </c>
      <c r="BG20" s="23">
        <v>8.279315671678102</v>
      </c>
      <c r="BH20" s="23">
        <v>0</v>
      </c>
      <c r="BI20" s="23">
        <v>0</v>
      </c>
      <c r="BJ20" s="23">
        <v>0</v>
      </c>
      <c r="BK20" s="23">
        <v>0</v>
      </c>
      <c r="BL20" s="23">
        <v>0</v>
      </c>
      <c r="BM20" s="23">
        <v>0</v>
      </c>
      <c r="BN20" s="23">
        <v>0</v>
      </c>
      <c r="BO20" s="23">
        <v>0</v>
      </c>
      <c r="BP20" s="23">
        <v>0</v>
      </c>
      <c r="BQ20" s="23">
        <v>0</v>
      </c>
      <c r="BR20" s="23">
        <v>0</v>
      </c>
    </row>
    <row r="21" spans="1:70" x14ac:dyDescent="0.3">
      <c r="A21" s="63">
        <v>2017</v>
      </c>
      <c r="B21" s="382">
        <v>43012</v>
      </c>
      <c r="C21" s="382" t="s">
        <v>1719</v>
      </c>
      <c r="D21" s="63" t="s">
        <v>3</v>
      </c>
      <c r="E21" s="63" t="s">
        <v>1724</v>
      </c>
      <c r="F21" s="63" t="s">
        <v>196</v>
      </c>
      <c r="G21" s="63">
        <v>2016</v>
      </c>
      <c r="H21" s="63" t="s">
        <v>216</v>
      </c>
      <c r="I21" s="63" t="s">
        <v>102</v>
      </c>
      <c r="J21" s="63" t="s">
        <v>213</v>
      </c>
      <c r="K21" s="66">
        <v>20</v>
      </c>
      <c r="N21" s="28">
        <v>67.8</v>
      </c>
      <c r="P21" s="63">
        <v>24.175913308675646</v>
      </c>
      <c r="Q21" s="63">
        <v>8.3000000000000007</v>
      </c>
      <c r="T21" s="379">
        <v>83.520371024333983</v>
      </c>
      <c r="U21" s="378">
        <v>2.2106318037751298</v>
      </c>
      <c r="V21" s="378">
        <v>7.8469817010789686</v>
      </c>
      <c r="W21" s="63">
        <v>3.4225013599738086</v>
      </c>
      <c r="X21" s="63">
        <v>1.0335887758952873</v>
      </c>
      <c r="Y21" s="63">
        <v>10.144572608824291</v>
      </c>
      <c r="Z21" s="63">
        <v>17.304111264364373</v>
      </c>
      <c r="AA21" s="63">
        <v>28.482779471073002</v>
      </c>
      <c r="AB21" s="63">
        <v>67.681870441405778</v>
      </c>
      <c r="AC21" s="63">
        <v>9.8581359666744302</v>
      </c>
      <c r="AD21" s="63">
        <v>56.505250245235565</v>
      </c>
      <c r="AE21" s="63">
        <v>53.420767721431758</v>
      </c>
      <c r="AF21" s="63">
        <v>15.581617258096021</v>
      </c>
      <c r="AG21" s="63">
        <v>12.45370429362104</v>
      </c>
      <c r="AH21" s="63">
        <v>94.254256570813581</v>
      </c>
      <c r="AI21" s="63">
        <v>60.829264261486877</v>
      </c>
      <c r="AJ21" s="63">
        <v>175.91406031975816</v>
      </c>
      <c r="AK21" s="63">
        <v>4.9372183908662661</v>
      </c>
      <c r="AL21" s="63">
        <v>18.408107967571048</v>
      </c>
      <c r="AM21" s="63">
        <v>41.184984299842</v>
      </c>
      <c r="AN21" s="63">
        <v>45.085648151887227</v>
      </c>
      <c r="AO21" s="63">
        <v>6.7684139939709009</v>
      </c>
      <c r="AP21" s="23">
        <v>0</v>
      </c>
      <c r="AQ21" s="23">
        <v>0</v>
      </c>
      <c r="AR21" s="23">
        <v>0</v>
      </c>
      <c r="AS21" s="23">
        <v>0</v>
      </c>
      <c r="AT21" s="23">
        <v>0.78926962558156699</v>
      </c>
      <c r="AU21" s="23">
        <v>1.4717449619239171</v>
      </c>
      <c r="AV21" s="23">
        <v>0</v>
      </c>
      <c r="AW21" s="23">
        <v>0</v>
      </c>
      <c r="AX21" s="23">
        <v>0.4191021711838121</v>
      </c>
      <c r="AY21" s="23">
        <v>0.60010800531718478</v>
      </c>
      <c r="AZ21" s="23">
        <v>1.0856156900394009</v>
      </c>
      <c r="BA21" s="23">
        <v>0</v>
      </c>
      <c r="BB21" s="23">
        <v>0</v>
      </c>
      <c r="BC21" s="23">
        <v>0.15548611623956871</v>
      </c>
      <c r="BD21" s="23">
        <v>0</v>
      </c>
      <c r="BE21" s="23">
        <v>0</v>
      </c>
      <c r="BF21" s="23">
        <v>0</v>
      </c>
      <c r="BG21" s="23">
        <v>8.7200396291002935</v>
      </c>
      <c r="BH21" s="23">
        <v>0</v>
      </c>
      <c r="BI21" s="23">
        <v>0</v>
      </c>
      <c r="BJ21" s="23">
        <v>0</v>
      </c>
      <c r="BK21" s="23">
        <v>0</v>
      </c>
      <c r="BL21" s="23">
        <v>0</v>
      </c>
      <c r="BM21" s="23">
        <v>5.1565615537995713E-2</v>
      </c>
      <c r="BN21" s="23">
        <v>0</v>
      </c>
      <c r="BO21" s="23">
        <v>0</v>
      </c>
      <c r="BP21" s="23">
        <v>0</v>
      </c>
      <c r="BQ21" s="23">
        <v>0</v>
      </c>
      <c r="BR21" s="23">
        <v>0</v>
      </c>
    </row>
    <row r="22" spans="1:70" x14ac:dyDescent="0.3">
      <c r="A22" s="63">
        <v>2017</v>
      </c>
      <c r="B22" s="382">
        <v>43012</v>
      </c>
      <c r="C22" s="382" t="s">
        <v>1719</v>
      </c>
      <c r="D22" s="63" t="s">
        <v>3</v>
      </c>
      <c r="E22" s="63" t="s">
        <v>1724</v>
      </c>
      <c r="F22" s="63" t="s">
        <v>196</v>
      </c>
      <c r="G22" s="63">
        <v>2016</v>
      </c>
      <c r="H22" s="63" t="s">
        <v>216</v>
      </c>
      <c r="I22" s="63" t="s">
        <v>103</v>
      </c>
      <c r="J22" s="63" t="s">
        <v>213</v>
      </c>
      <c r="K22" s="66">
        <v>20</v>
      </c>
      <c r="N22" s="28">
        <v>74.8</v>
      </c>
      <c r="P22" s="63">
        <v>25.213434517104403</v>
      </c>
      <c r="Q22" s="63">
        <v>10</v>
      </c>
      <c r="T22" s="379">
        <v>58.826959282585122</v>
      </c>
      <c r="U22" s="378">
        <v>2.215405663613391</v>
      </c>
      <c r="V22" s="378">
        <v>7.8639272596882233</v>
      </c>
      <c r="W22" s="63">
        <v>2.7091091986061473</v>
      </c>
      <c r="X22" s="63">
        <v>0.81449028115543221</v>
      </c>
      <c r="Y22" s="63">
        <v>8.5415452987413421</v>
      </c>
      <c r="Z22" s="63">
        <v>12.69559739552707</v>
      </c>
      <c r="AA22" s="63">
        <v>22.491287013797333</v>
      </c>
      <c r="AB22" s="63">
        <v>53.812613360002373</v>
      </c>
      <c r="AC22" s="63">
        <v>7.8139167196726564</v>
      </c>
      <c r="AD22" s="63">
        <v>49.179423147341339</v>
      </c>
      <c r="AE22" s="63">
        <v>40.679334761373184</v>
      </c>
      <c r="AF22" s="63">
        <v>13.127678260480131</v>
      </c>
      <c r="AG22" s="63">
        <v>13.727808759421443</v>
      </c>
      <c r="AH22" s="63">
        <v>75.687068304035492</v>
      </c>
      <c r="AI22" s="63">
        <v>53.86283854418668</v>
      </c>
      <c r="AJ22" s="63">
        <v>140.10334849369809</v>
      </c>
      <c r="AK22" s="63">
        <v>4.4875949356658591</v>
      </c>
      <c r="AL22" s="63">
        <v>16.112949620462949</v>
      </c>
      <c r="AM22" s="63">
        <v>37.755068032075577</v>
      </c>
      <c r="AN22" s="63">
        <v>38.30232528459819</v>
      </c>
      <c r="AO22" s="63">
        <v>6.4051074221198334</v>
      </c>
      <c r="AP22" s="23">
        <v>0</v>
      </c>
      <c r="AQ22" s="23">
        <v>0</v>
      </c>
      <c r="AR22" s="23">
        <v>0</v>
      </c>
      <c r="AS22" s="23">
        <v>0</v>
      </c>
      <c r="AT22" s="23">
        <v>1.3347297863426895</v>
      </c>
      <c r="AU22" s="23">
        <v>2.185590247829337</v>
      </c>
      <c r="AV22" s="23">
        <v>0.36595259579130546</v>
      </c>
      <c r="AW22" s="23">
        <v>0.75352604384862443</v>
      </c>
      <c r="AX22" s="23">
        <v>0.6194665549504258</v>
      </c>
      <c r="AY22" s="23">
        <v>1.0607457059069962</v>
      </c>
      <c r="AZ22" s="23">
        <v>0</v>
      </c>
      <c r="BA22" s="23">
        <v>0</v>
      </c>
      <c r="BB22" s="23">
        <v>0</v>
      </c>
      <c r="BC22" s="23">
        <v>0.19494484010613042</v>
      </c>
      <c r="BD22" s="23">
        <v>0</v>
      </c>
      <c r="BE22" s="23">
        <v>0</v>
      </c>
      <c r="BF22" s="23">
        <v>0</v>
      </c>
      <c r="BG22" s="23">
        <v>13.285329850415238</v>
      </c>
      <c r="BH22" s="23">
        <v>0</v>
      </c>
      <c r="BI22" s="23">
        <v>0</v>
      </c>
      <c r="BJ22" s="23">
        <v>0</v>
      </c>
      <c r="BK22" s="23">
        <v>0</v>
      </c>
      <c r="BL22" s="23">
        <v>0</v>
      </c>
      <c r="BM22" s="23">
        <v>0</v>
      </c>
      <c r="BN22" s="23">
        <v>0</v>
      </c>
      <c r="BO22" s="23">
        <v>0</v>
      </c>
      <c r="BP22" s="23">
        <v>0</v>
      </c>
      <c r="BQ22" s="23">
        <v>0</v>
      </c>
      <c r="BR22" s="23">
        <v>0</v>
      </c>
    </row>
    <row r="23" spans="1:70" x14ac:dyDescent="0.3">
      <c r="A23" s="63">
        <v>2017</v>
      </c>
      <c r="B23" s="382">
        <v>43018</v>
      </c>
      <c r="C23" s="382" t="s">
        <v>1719</v>
      </c>
      <c r="D23" s="63" t="s">
        <v>3</v>
      </c>
      <c r="E23" s="63" t="s">
        <v>1724</v>
      </c>
      <c r="F23" s="63" t="s">
        <v>196</v>
      </c>
      <c r="G23" s="63">
        <v>2016</v>
      </c>
      <c r="H23" s="63" t="s">
        <v>216</v>
      </c>
      <c r="I23" s="63" t="s">
        <v>104</v>
      </c>
      <c r="J23" s="63" t="s">
        <v>210</v>
      </c>
      <c r="K23" s="66">
        <v>20</v>
      </c>
      <c r="N23" s="28">
        <v>61.6</v>
      </c>
      <c r="P23" s="63">
        <v>25.056652638394283</v>
      </c>
      <c r="Q23" s="63">
        <v>16.399999999999999</v>
      </c>
      <c r="T23" s="379">
        <v>401.45395058353523</v>
      </c>
      <c r="U23" s="378">
        <v>5.2854460821088676</v>
      </c>
      <c r="V23" s="378">
        <v>8.9011028879581691</v>
      </c>
      <c r="W23" s="63">
        <v>6.0960595067535301</v>
      </c>
      <c r="X23" s="63">
        <v>2.3782455469246706</v>
      </c>
      <c r="Y23" s="63">
        <v>22.142386075443429</v>
      </c>
      <c r="Z23" s="63">
        <v>33.146794202123999</v>
      </c>
      <c r="AA23" s="63">
        <v>60.438693498462243</v>
      </c>
      <c r="AB23" s="63">
        <v>172.07421766425841</v>
      </c>
      <c r="AC23" s="63">
        <v>22.229824216732105</v>
      </c>
      <c r="AD23" s="63">
        <v>152.12767834545821</v>
      </c>
      <c r="AE23" s="63">
        <v>113.39169477809585</v>
      </c>
      <c r="AF23" s="63">
        <v>30.089332995423757</v>
      </c>
      <c r="AG23" s="63">
        <v>39.844564249407199</v>
      </c>
      <c r="AH23" s="63">
        <v>194.80957076967385</v>
      </c>
      <c r="AI23" s="63">
        <v>152.34487117886661</v>
      </c>
      <c r="AJ23" s="63">
        <v>268.228742166958</v>
      </c>
      <c r="AK23" s="63">
        <v>8.4164811834205366</v>
      </c>
      <c r="AL23" s="63">
        <v>29.57065986724772</v>
      </c>
      <c r="AM23" s="63">
        <v>67.7179705806101</v>
      </c>
      <c r="AN23" s="63">
        <v>81.648430038739718</v>
      </c>
      <c r="AO23" s="63">
        <v>9.016173261164635</v>
      </c>
      <c r="AP23" s="23">
        <v>0</v>
      </c>
      <c r="AQ23" s="23">
        <v>0</v>
      </c>
      <c r="AR23" s="23">
        <v>0</v>
      </c>
      <c r="AS23" s="23">
        <v>0</v>
      </c>
      <c r="AT23" s="23">
        <v>0.25656605963868528</v>
      </c>
      <c r="AU23" s="23">
        <v>0.62834822095420195</v>
      </c>
      <c r="AV23" s="23">
        <v>0</v>
      </c>
      <c r="AW23" s="23">
        <v>0.47476964376405711</v>
      </c>
      <c r="AX23" s="23">
        <v>0.4023978814481608</v>
      </c>
      <c r="AY23" s="23">
        <v>0</v>
      </c>
      <c r="AZ23" s="23">
        <v>0</v>
      </c>
      <c r="BA23" s="23">
        <v>0</v>
      </c>
      <c r="BB23" s="23">
        <v>0</v>
      </c>
      <c r="BC23" s="23">
        <v>0</v>
      </c>
      <c r="BD23" s="23">
        <v>0</v>
      </c>
      <c r="BE23" s="23">
        <v>0</v>
      </c>
      <c r="BF23" s="23">
        <v>0</v>
      </c>
      <c r="BG23" s="23">
        <v>3.3635815219942726</v>
      </c>
      <c r="BH23" s="23">
        <v>0</v>
      </c>
      <c r="BI23" s="23">
        <v>0</v>
      </c>
      <c r="BJ23" s="23">
        <v>0</v>
      </c>
      <c r="BK23" s="23">
        <v>0</v>
      </c>
      <c r="BL23" s="23">
        <v>0</v>
      </c>
      <c r="BM23" s="23">
        <v>0</v>
      </c>
      <c r="BN23" s="23">
        <v>0</v>
      </c>
      <c r="BO23" s="23">
        <v>0</v>
      </c>
      <c r="BP23" s="23">
        <v>0</v>
      </c>
      <c r="BQ23" s="23">
        <v>0</v>
      </c>
      <c r="BR23" s="23">
        <v>0</v>
      </c>
    </row>
    <row r="24" spans="1:70" x14ac:dyDescent="0.3">
      <c r="A24" s="63">
        <v>2017</v>
      </c>
      <c r="B24" s="382">
        <v>43018</v>
      </c>
      <c r="C24" s="382" t="s">
        <v>1719</v>
      </c>
      <c r="D24" s="63" t="s">
        <v>3</v>
      </c>
      <c r="E24" s="63" t="s">
        <v>1724</v>
      </c>
      <c r="F24" s="63" t="s">
        <v>196</v>
      </c>
      <c r="G24" s="63">
        <v>2016</v>
      </c>
      <c r="H24" s="63" t="s">
        <v>216</v>
      </c>
      <c r="I24" s="63" t="s">
        <v>106</v>
      </c>
      <c r="J24" s="63" t="s">
        <v>213</v>
      </c>
      <c r="K24" s="66">
        <v>20.5</v>
      </c>
      <c r="N24" s="28">
        <v>74.400000000000006</v>
      </c>
      <c r="P24" s="63">
        <v>22.705208378886638</v>
      </c>
      <c r="Q24" s="63">
        <v>5.0999999999999996</v>
      </c>
      <c r="T24" s="379">
        <v>26.378434074840452</v>
      </c>
      <c r="U24" s="378">
        <v>2.2180321224585553</v>
      </c>
      <c r="V24" s="378">
        <v>7.873250284201597</v>
      </c>
      <c r="W24" s="63">
        <v>2.2365938345844447</v>
      </c>
      <c r="X24" s="63">
        <v>0.72271743175963377</v>
      </c>
      <c r="Y24" s="63">
        <v>6.9654903665426975</v>
      </c>
      <c r="Z24" s="63">
        <v>11.849964340061883</v>
      </c>
      <c r="AA24" s="63">
        <v>20.949901754497308</v>
      </c>
      <c r="AB24" s="63">
        <v>49.90730408908108</v>
      </c>
      <c r="AC24" s="63">
        <v>7.1023551820600863</v>
      </c>
      <c r="AD24" s="63">
        <v>38.111376649170637</v>
      </c>
      <c r="AE24" s="63">
        <v>43.219811447019275</v>
      </c>
      <c r="AF24" s="63">
        <v>12.024476977932817</v>
      </c>
      <c r="AG24" s="63">
        <v>9.0087001855121898</v>
      </c>
      <c r="AH24" s="63">
        <v>76.25906869882715</v>
      </c>
      <c r="AI24" s="63">
        <v>42.81273575659359</v>
      </c>
      <c r="AJ24" s="63">
        <v>152.18867292293817</v>
      </c>
      <c r="AK24" s="63">
        <v>4.3623318563658513</v>
      </c>
      <c r="AL24" s="63">
        <v>17.1867651715569</v>
      </c>
      <c r="AM24" s="63">
        <v>44.536790598689592</v>
      </c>
      <c r="AN24" s="63">
        <v>40.051587612723878</v>
      </c>
      <c r="AO24" s="63">
        <v>7.5673925097979993</v>
      </c>
      <c r="AP24" s="23">
        <v>0</v>
      </c>
      <c r="AQ24" s="23">
        <v>0</v>
      </c>
      <c r="AR24" s="23">
        <v>0</v>
      </c>
      <c r="AS24" s="23">
        <v>0</v>
      </c>
      <c r="AT24" s="23">
        <v>0.95680875141456045</v>
      </c>
      <c r="AU24" s="23">
        <v>2.0100664263510688</v>
      </c>
      <c r="AV24" s="23">
        <v>0.46897726942992868</v>
      </c>
      <c r="AW24" s="23">
        <v>0.76362264668564173</v>
      </c>
      <c r="AX24" s="23">
        <v>0.58183875724426459</v>
      </c>
      <c r="AY24" s="23">
        <v>0.69846713075683264</v>
      </c>
      <c r="AZ24" s="23">
        <v>1.8791843255597218</v>
      </c>
      <c r="BA24" s="23">
        <v>0</v>
      </c>
      <c r="BB24" s="23">
        <v>0</v>
      </c>
      <c r="BC24" s="23">
        <v>0.33196735365728197</v>
      </c>
      <c r="BD24" s="23">
        <v>0</v>
      </c>
      <c r="BE24" s="23">
        <v>0</v>
      </c>
      <c r="BF24" s="23">
        <v>0</v>
      </c>
      <c r="BG24" s="23">
        <v>12.933952478834541</v>
      </c>
      <c r="BH24" s="23">
        <v>0.88794037967712713</v>
      </c>
      <c r="BI24" s="23">
        <v>0</v>
      </c>
      <c r="BJ24" s="23">
        <v>0</v>
      </c>
      <c r="BK24" s="23">
        <v>0</v>
      </c>
      <c r="BL24" s="23">
        <v>0</v>
      </c>
      <c r="BM24" s="23">
        <v>7.9163951853502959E-2</v>
      </c>
      <c r="BN24" s="23">
        <v>0</v>
      </c>
      <c r="BO24" s="23">
        <v>0</v>
      </c>
      <c r="BP24" s="23">
        <v>0</v>
      </c>
      <c r="BQ24" s="23">
        <v>0</v>
      </c>
      <c r="BR24" s="23">
        <v>0</v>
      </c>
    </row>
    <row r="25" spans="1:70" x14ac:dyDescent="0.3">
      <c r="A25" s="63">
        <v>2017</v>
      </c>
      <c r="B25" s="382">
        <v>43018</v>
      </c>
      <c r="C25" s="382" t="s">
        <v>1719</v>
      </c>
      <c r="D25" s="63" t="s">
        <v>3</v>
      </c>
      <c r="E25" s="63" t="s">
        <v>1724</v>
      </c>
      <c r="F25" s="63" t="s">
        <v>196</v>
      </c>
      <c r="G25" s="63">
        <v>2016</v>
      </c>
      <c r="H25" s="63" t="s">
        <v>216</v>
      </c>
      <c r="I25" s="63" t="s">
        <v>107</v>
      </c>
      <c r="J25" s="63" t="s">
        <v>213</v>
      </c>
      <c r="K25" s="66">
        <v>20.9</v>
      </c>
      <c r="N25" s="28">
        <v>79</v>
      </c>
      <c r="P25" s="63">
        <v>24.088711970429358</v>
      </c>
      <c r="Q25" s="63">
        <v>8.1</v>
      </c>
      <c r="T25" s="379">
        <v>58.433004651082172</v>
      </c>
      <c r="U25" s="378">
        <v>2.19681585720374</v>
      </c>
      <c r="V25" s="378">
        <v>7.7979398480921258</v>
      </c>
      <c r="W25" s="63">
        <v>3.0180935392001729</v>
      </c>
      <c r="X25" s="63">
        <v>0.85126897531791135</v>
      </c>
      <c r="Y25" s="63">
        <v>8.9968187593359161</v>
      </c>
      <c r="Z25" s="63">
        <v>14.518103957923184</v>
      </c>
      <c r="AA25" s="63">
        <v>27.005449879426013</v>
      </c>
      <c r="AB25" s="63">
        <v>62.027100711985838</v>
      </c>
      <c r="AC25" s="63">
        <v>9.8635057648490818</v>
      </c>
      <c r="AD25" s="63">
        <v>54.616124134745036</v>
      </c>
      <c r="AE25" s="63">
        <v>53.728748993412921</v>
      </c>
      <c r="AF25" s="63">
        <v>15.418101103051569</v>
      </c>
      <c r="AG25" s="63">
        <v>14.538145291452395</v>
      </c>
      <c r="AH25" s="63">
        <v>99.966149016272738</v>
      </c>
      <c r="AI25" s="63">
        <v>58.700744788139552</v>
      </c>
      <c r="AJ25" s="63">
        <v>192.3956606887333</v>
      </c>
      <c r="AK25" s="63">
        <v>5.49758557325986</v>
      </c>
      <c r="AL25" s="63">
        <v>21.993180499583694</v>
      </c>
      <c r="AM25" s="63">
        <v>55.782900148555015</v>
      </c>
      <c r="AN25" s="63">
        <v>51.017453577969398</v>
      </c>
      <c r="AO25" s="63">
        <v>8.8538294541194524</v>
      </c>
      <c r="AP25" s="23">
        <v>0</v>
      </c>
      <c r="AQ25" s="23">
        <v>0</v>
      </c>
      <c r="AR25" s="23">
        <v>0</v>
      </c>
      <c r="AS25" s="23">
        <v>0</v>
      </c>
      <c r="AT25" s="23">
        <v>1.3403136165144898</v>
      </c>
      <c r="AU25" s="23">
        <v>2.3961094611434381</v>
      </c>
      <c r="AV25" s="23">
        <v>0.43604410674676647</v>
      </c>
      <c r="AW25" s="23">
        <v>1.4064112743152042</v>
      </c>
      <c r="AX25" s="23">
        <v>0.90600526904615797</v>
      </c>
      <c r="AY25" s="23">
        <v>1.3643491284420224</v>
      </c>
      <c r="AZ25" s="23">
        <v>1.9550468843208724</v>
      </c>
      <c r="BA25" s="23">
        <v>0</v>
      </c>
      <c r="BB25" s="23">
        <v>0</v>
      </c>
      <c r="BC25" s="23">
        <v>0.36019885235843946</v>
      </c>
      <c r="BD25" s="23">
        <v>0</v>
      </c>
      <c r="BE25" s="23">
        <v>0</v>
      </c>
      <c r="BF25" s="23">
        <v>0</v>
      </c>
      <c r="BG25" s="23">
        <v>18.44441294291725</v>
      </c>
      <c r="BH25" s="23">
        <v>1.5503799997027934</v>
      </c>
      <c r="BI25" s="23">
        <v>0</v>
      </c>
      <c r="BJ25" s="23">
        <v>0</v>
      </c>
      <c r="BK25" s="23">
        <v>0</v>
      </c>
      <c r="BL25" s="23">
        <v>0</v>
      </c>
      <c r="BM25" s="23">
        <v>0.1288570500559385</v>
      </c>
      <c r="BN25" s="23">
        <v>0</v>
      </c>
      <c r="BO25" s="23">
        <v>0</v>
      </c>
      <c r="BP25" s="23">
        <v>0</v>
      </c>
      <c r="BQ25" s="23">
        <v>0</v>
      </c>
      <c r="BR25" s="23">
        <v>0</v>
      </c>
    </row>
    <row r="26" spans="1:70" x14ac:dyDescent="0.3">
      <c r="A26" s="63">
        <v>2017</v>
      </c>
      <c r="B26" s="382">
        <v>43018</v>
      </c>
      <c r="C26" s="382" t="s">
        <v>1719</v>
      </c>
      <c r="D26" s="63" t="s">
        <v>3</v>
      </c>
      <c r="E26" s="63" t="s">
        <v>1724</v>
      </c>
      <c r="F26" s="63" t="s">
        <v>196</v>
      </c>
      <c r="G26" s="63">
        <v>2016</v>
      </c>
      <c r="H26" s="63" t="s">
        <v>216</v>
      </c>
      <c r="I26" s="63" t="s">
        <v>108</v>
      </c>
      <c r="J26" s="63" t="s">
        <v>213</v>
      </c>
      <c r="K26" s="66">
        <v>22.1</v>
      </c>
      <c r="N26" s="28">
        <v>95.4</v>
      </c>
      <c r="P26" s="63">
        <v>23.998966371847715</v>
      </c>
      <c r="Q26" s="63">
        <v>8.1</v>
      </c>
      <c r="T26" s="379">
        <v>64.217158543882746</v>
      </c>
      <c r="U26" s="378">
        <v>4.8160267312486242</v>
      </c>
      <c r="V26" s="378">
        <v>8.110564137832764</v>
      </c>
      <c r="W26" s="63">
        <v>2.4084547681575681</v>
      </c>
      <c r="X26" s="63">
        <v>0.74878296021678659</v>
      </c>
      <c r="Y26" s="63">
        <v>7.3402466438454743</v>
      </c>
      <c r="Z26" s="63">
        <v>12.947695104887561</v>
      </c>
      <c r="AA26" s="63">
        <v>21.202761014914607</v>
      </c>
      <c r="AB26" s="63">
        <v>57.528326072288465</v>
      </c>
      <c r="AC26" s="63">
        <v>8.2753516629579416</v>
      </c>
      <c r="AD26" s="63">
        <v>42.727026837454588</v>
      </c>
      <c r="AE26" s="63">
        <v>50.721915107828281</v>
      </c>
      <c r="AF26" s="63">
        <v>14.109223540429909</v>
      </c>
      <c r="AG26" s="63">
        <v>9.3926220640192568</v>
      </c>
      <c r="AH26" s="63">
        <v>88.874751454678886</v>
      </c>
      <c r="AI26" s="63">
        <v>48.492117322112037</v>
      </c>
      <c r="AJ26" s="63">
        <v>161.7517543870361</v>
      </c>
      <c r="AK26" s="63">
        <v>3.7204345871349638</v>
      </c>
      <c r="AL26" s="63">
        <v>13.818089701274113</v>
      </c>
      <c r="AM26" s="63">
        <v>29.873452766157602</v>
      </c>
      <c r="AN26" s="63">
        <v>42.698905525057953</v>
      </c>
      <c r="AO26" s="63">
        <v>4.9900872044115916</v>
      </c>
      <c r="AP26" s="23">
        <v>1.8044227836350373</v>
      </c>
      <c r="AQ26" s="23">
        <v>0</v>
      </c>
      <c r="AR26" s="23">
        <v>0</v>
      </c>
      <c r="AS26" s="23">
        <v>0</v>
      </c>
      <c r="AT26" s="23">
        <v>0.61310589483455991</v>
      </c>
      <c r="AU26" s="23">
        <v>1.6440735713422028</v>
      </c>
      <c r="AV26" s="23">
        <v>0</v>
      </c>
      <c r="AW26" s="23">
        <v>0.62899923745109731</v>
      </c>
      <c r="AX26" s="23">
        <v>0.36689377362243875</v>
      </c>
      <c r="AY26" s="23">
        <v>0.3949091572176911</v>
      </c>
      <c r="AZ26" s="23">
        <v>0.40616982022568321</v>
      </c>
      <c r="BA26" s="23">
        <v>0</v>
      </c>
      <c r="BB26" s="23">
        <v>0</v>
      </c>
      <c r="BC26" s="23">
        <v>0</v>
      </c>
      <c r="BD26" s="23">
        <v>0</v>
      </c>
      <c r="BE26" s="23">
        <v>0</v>
      </c>
      <c r="BF26" s="23">
        <v>0</v>
      </c>
      <c r="BG26" s="23">
        <v>9.7612223405375662</v>
      </c>
      <c r="BH26" s="23">
        <v>0.77249036575043772</v>
      </c>
      <c r="BI26" s="23">
        <v>0</v>
      </c>
      <c r="BJ26" s="23">
        <v>0</v>
      </c>
      <c r="BK26" s="23">
        <v>0</v>
      </c>
      <c r="BL26" s="23">
        <v>0</v>
      </c>
      <c r="BM26" s="23">
        <v>0</v>
      </c>
      <c r="BN26" s="23">
        <v>0</v>
      </c>
      <c r="BO26" s="23">
        <v>0</v>
      </c>
      <c r="BP26" s="23">
        <v>0</v>
      </c>
      <c r="BQ26" s="23">
        <v>0</v>
      </c>
      <c r="BR26" s="23">
        <v>0</v>
      </c>
    </row>
    <row r="27" spans="1:70" x14ac:dyDescent="0.3">
      <c r="A27" s="63">
        <v>2017</v>
      </c>
      <c r="B27" s="382">
        <v>43018</v>
      </c>
      <c r="C27" s="382" t="s">
        <v>1719</v>
      </c>
      <c r="D27" s="63" t="s">
        <v>3</v>
      </c>
      <c r="E27" s="63" t="s">
        <v>1724</v>
      </c>
      <c r="F27" s="63" t="s">
        <v>196</v>
      </c>
      <c r="G27" s="63">
        <v>2016</v>
      </c>
      <c r="H27" s="63" t="s">
        <v>216</v>
      </c>
      <c r="I27" s="63" t="s">
        <v>109</v>
      </c>
      <c r="J27" s="63" t="s">
        <v>213</v>
      </c>
      <c r="K27" s="66">
        <v>22.4</v>
      </c>
      <c r="N27" s="28">
        <v>101.2</v>
      </c>
      <c r="P27" s="63">
        <v>24.780429980063587</v>
      </c>
      <c r="Q27" s="63">
        <v>8.3000000000000007</v>
      </c>
      <c r="T27" s="379">
        <v>135.84499278591699</v>
      </c>
      <c r="U27" s="378">
        <v>2.2375868226303171</v>
      </c>
      <c r="V27" s="378">
        <v>7.9426627364045652</v>
      </c>
      <c r="W27" s="63">
        <v>2.542402877185288</v>
      </c>
      <c r="X27" s="63">
        <v>0.35134006502248244</v>
      </c>
      <c r="Y27" s="63">
        <v>7.7393774001475695</v>
      </c>
      <c r="Z27" s="63">
        <v>12.239946036435539</v>
      </c>
      <c r="AA27" s="63">
        <v>22.262924274533795</v>
      </c>
      <c r="AB27" s="63">
        <v>53.064582905989241</v>
      </c>
      <c r="AC27" s="63">
        <v>9.6613715320430273</v>
      </c>
      <c r="AD27" s="63">
        <v>44.651213720829659</v>
      </c>
      <c r="AE27" s="63">
        <v>47.868026847682565</v>
      </c>
      <c r="AF27" s="63">
        <v>13.8085194857613</v>
      </c>
      <c r="AG27" s="63">
        <v>12.406928897019869</v>
      </c>
      <c r="AH27" s="63">
        <v>89.755783615045885</v>
      </c>
      <c r="AI27" s="63">
        <v>51.643443711566675</v>
      </c>
      <c r="AJ27" s="63">
        <v>157.85267776166779</v>
      </c>
      <c r="AK27" s="63">
        <v>3.6235931889362503</v>
      </c>
      <c r="AL27" s="63">
        <v>14.224643834413149</v>
      </c>
      <c r="AM27" s="63">
        <v>28.599254880795943</v>
      </c>
      <c r="AN27" s="63">
        <v>40.643275271890033</v>
      </c>
      <c r="AO27" s="63">
        <v>4.4740404615989924</v>
      </c>
      <c r="AP27" s="23">
        <v>2.2583365645599063</v>
      </c>
      <c r="AQ27" s="23">
        <v>0</v>
      </c>
      <c r="AR27" s="23">
        <v>0</v>
      </c>
      <c r="AS27" s="23">
        <v>0</v>
      </c>
      <c r="AT27" s="23">
        <v>0.38423102682505544</v>
      </c>
      <c r="AU27" s="23">
        <v>0.72376703651251451</v>
      </c>
      <c r="AV27" s="23">
        <v>0.21942423609736519</v>
      </c>
      <c r="AW27" s="23">
        <v>0.37539215340688775</v>
      </c>
      <c r="AX27" s="23">
        <v>0.33457735556417217</v>
      </c>
      <c r="AY27" s="23">
        <v>0</v>
      </c>
      <c r="AZ27" s="23">
        <v>0.72742761879682238</v>
      </c>
      <c r="BA27" s="23">
        <v>0</v>
      </c>
      <c r="BB27" s="23">
        <v>0</v>
      </c>
      <c r="BC27" s="23">
        <v>0</v>
      </c>
      <c r="BD27" s="23">
        <v>0</v>
      </c>
      <c r="BE27" s="23">
        <v>0</v>
      </c>
      <c r="BF27" s="23">
        <v>0</v>
      </c>
      <c r="BG27" s="23">
        <v>4.5371836594625865</v>
      </c>
      <c r="BH27" s="23">
        <v>0</v>
      </c>
      <c r="BI27" s="23">
        <v>0</v>
      </c>
      <c r="BJ27" s="23">
        <v>0</v>
      </c>
      <c r="BK27" s="23">
        <v>0</v>
      </c>
      <c r="BL27" s="23">
        <v>0</v>
      </c>
      <c r="BM27" s="23">
        <v>0</v>
      </c>
      <c r="BN27" s="23">
        <v>0</v>
      </c>
      <c r="BO27" s="23">
        <v>0</v>
      </c>
      <c r="BP27" s="23">
        <v>0</v>
      </c>
      <c r="BQ27" s="23">
        <v>0</v>
      </c>
      <c r="BR27" s="23">
        <v>0</v>
      </c>
    </row>
    <row r="28" spans="1:70" x14ac:dyDescent="0.3">
      <c r="A28" s="63">
        <v>2017</v>
      </c>
      <c r="B28" s="382">
        <v>43018</v>
      </c>
      <c r="C28" s="382" t="s">
        <v>1719</v>
      </c>
      <c r="D28" s="63" t="s">
        <v>3</v>
      </c>
      <c r="E28" s="63" t="s">
        <v>1724</v>
      </c>
      <c r="F28" s="63" t="s">
        <v>196</v>
      </c>
      <c r="G28" s="63">
        <v>2016</v>
      </c>
      <c r="H28" s="63" t="s">
        <v>216</v>
      </c>
      <c r="I28" s="63" t="s">
        <v>110</v>
      </c>
      <c r="J28" s="63" t="s">
        <v>213</v>
      </c>
      <c r="K28" s="66">
        <v>23</v>
      </c>
      <c r="N28" s="28">
        <v>102.2</v>
      </c>
      <c r="P28" s="63">
        <v>23.908457114707033</v>
      </c>
      <c r="Q28" s="63">
        <v>8</v>
      </c>
      <c r="T28" s="379">
        <v>73.020181002681738</v>
      </c>
      <c r="U28" s="378">
        <v>4.818400998681196</v>
      </c>
      <c r="V28" s="378">
        <v>8.1145625891219346</v>
      </c>
      <c r="W28" s="63">
        <v>3.3503460431157013</v>
      </c>
      <c r="X28" s="63">
        <v>1.0225614781610641</v>
      </c>
      <c r="Y28" s="63">
        <v>10.921285935000125</v>
      </c>
      <c r="Z28" s="63">
        <v>16.226779617495449</v>
      </c>
      <c r="AA28" s="63">
        <v>26.716746812532548</v>
      </c>
      <c r="AB28" s="63">
        <v>63.295001582520449</v>
      </c>
      <c r="AC28" s="63">
        <v>9.5917976346423011</v>
      </c>
      <c r="AD28" s="63">
        <v>52.860544533817951</v>
      </c>
      <c r="AE28" s="63">
        <v>52.130432551078258</v>
      </c>
      <c r="AF28" s="63">
        <v>15.192086793466711</v>
      </c>
      <c r="AG28" s="63">
        <v>15.211474704124186</v>
      </c>
      <c r="AH28" s="63">
        <v>98.057030477976667</v>
      </c>
      <c r="AI28" s="63">
        <v>61.256881354516999</v>
      </c>
      <c r="AJ28" s="63">
        <v>188.76100918291829</v>
      </c>
      <c r="AK28" s="63">
        <v>5.8267521723543982</v>
      </c>
      <c r="AL28" s="63">
        <v>21.799968331363225</v>
      </c>
      <c r="AM28" s="63">
        <v>56.530684328280074</v>
      </c>
      <c r="AN28" s="63">
        <v>52.468832545092567</v>
      </c>
      <c r="AO28" s="63">
        <v>9.4365062205746462</v>
      </c>
      <c r="AP28" s="23">
        <v>1.1605515651801028</v>
      </c>
      <c r="AQ28" s="23">
        <v>0</v>
      </c>
      <c r="AR28" s="23">
        <v>0</v>
      </c>
      <c r="AS28" s="23">
        <v>0</v>
      </c>
      <c r="AT28" s="23">
        <v>0.80041273584905659</v>
      </c>
      <c r="AU28" s="23">
        <v>2.0691662042175358</v>
      </c>
      <c r="AV28" s="23">
        <v>0.40264423076923073</v>
      </c>
      <c r="AW28" s="23">
        <v>0.78690055031446537</v>
      </c>
      <c r="AX28" s="23">
        <v>0.45965998427672955</v>
      </c>
      <c r="AY28" s="23">
        <v>0.85863797169811307</v>
      </c>
      <c r="AZ28" s="23">
        <v>0.60140237698853127</v>
      </c>
      <c r="BA28" s="23">
        <v>0</v>
      </c>
      <c r="BB28" s="23">
        <v>0</v>
      </c>
      <c r="BC28" s="23">
        <v>0.27122641509433965</v>
      </c>
      <c r="BD28" s="23">
        <v>0</v>
      </c>
      <c r="BE28" s="23">
        <v>0</v>
      </c>
      <c r="BF28" s="23">
        <v>0</v>
      </c>
      <c r="BG28" s="23">
        <v>13.064469455234923</v>
      </c>
      <c r="BH28" s="23">
        <v>1.0561563540510543</v>
      </c>
      <c r="BI28" s="23">
        <v>0</v>
      </c>
      <c r="BJ28" s="23">
        <v>0</v>
      </c>
      <c r="BK28" s="23">
        <v>0</v>
      </c>
      <c r="BL28" s="23">
        <v>0</v>
      </c>
      <c r="BM28" s="23">
        <v>5.7488207547169809E-2</v>
      </c>
      <c r="BN28" s="23">
        <v>0</v>
      </c>
      <c r="BO28" s="23">
        <v>0</v>
      </c>
      <c r="BP28" s="23">
        <v>0</v>
      </c>
      <c r="BQ28" s="23">
        <v>0</v>
      </c>
      <c r="BR28" s="23">
        <v>0</v>
      </c>
    </row>
    <row r="29" spans="1:70" x14ac:dyDescent="0.3">
      <c r="A29" s="63">
        <v>2017</v>
      </c>
      <c r="B29" s="382">
        <v>43020</v>
      </c>
      <c r="C29" s="382" t="s">
        <v>1719</v>
      </c>
      <c r="D29" s="63" t="s">
        <v>13</v>
      </c>
      <c r="E29" s="63" t="s">
        <v>1724</v>
      </c>
      <c r="F29" s="63" t="s">
        <v>196</v>
      </c>
      <c r="G29" s="63">
        <v>2016</v>
      </c>
      <c r="H29" s="63" t="s">
        <v>216</v>
      </c>
      <c r="I29" s="63" t="s">
        <v>207</v>
      </c>
      <c r="J29" s="63" t="s">
        <v>213</v>
      </c>
      <c r="K29" s="66">
        <v>24.8</v>
      </c>
      <c r="N29" s="28">
        <v>142.6</v>
      </c>
      <c r="P29" s="63">
        <v>23.757247368003021</v>
      </c>
      <c r="Q29" s="63">
        <v>6.1</v>
      </c>
      <c r="T29" s="379">
        <v>45.221181942210599</v>
      </c>
      <c r="U29" s="378">
        <v>4.8019810115585901</v>
      </c>
      <c r="V29" s="378">
        <v>8.0869100518475499</v>
      </c>
      <c r="W29" s="63">
        <v>1.5650859987715953</v>
      </c>
      <c r="X29" s="63">
        <v>0.24946688610094733</v>
      </c>
      <c r="Y29" s="63">
        <v>3.3622572887765032</v>
      </c>
      <c r="Z29" s="63">
        <v>7.3087753098484445</v>
      </c>
      <c r="AA29" s="63">
        <v>11.419267349744883</v>
      </c>
      <c r="AB29" s="63">
        <v>34.106319166125985</v>
      </c>
      <c r="AC29" s="63">
        <v>5.8895295815819457</v>
      </c>
      <c r="AD29" s="63">
        <v>25.953778743060049</v>
      </c>
      <c r="AE29" s="63">
        <v>30.749540318591549</v>
      </c>
      <c r="AF29" s="63">
        <v>8.3449755748626728</v>
      </c>
      <c r="AG29" s="63">
        <v>6.0376965327390328</v>
      </c>
      <c r="AH29" s="63">
        <v>52.357719015418631</v>
      </c>
      <c r="AI29" s="63">
        <v>29.833534520588479</v>
      </c>
      <c r="AJ29" s="63">
        <v>86.821333954790646</v>
      </c>
      <c r="AK29" s="63">
        <v>2.1745892558186961</v>
      </c>
      <c r="AL29" s="63">
        <v>6.0448273376667814</v>
      </c>
      <c r="AM29" s="63">
        <v>9.0727246652445324</v>
      </c>
      <c r="AN29" s="63">
        <v>27.601173616081951</v>
      </c>
      <c r="AO29" s="63">
        <v>2.3083216411119984</v>
      </c>
      <c r="AP29" s="23">
        <v>0</v>
      </c>
      <c r="AQ29" s="23">
        <v>0</v>
      </c>
      <c r="AR29" s="23">
        <v>0</v>
      </c>
      <c r="AS29" s="23">
        <v>0</v>
      </c>
      <c r="AT29" s="23">
        <v>0.55787707088747918</v>
      </c>
      <c r="AU29" s="23">
        <v>0.87368247539207844</v>
      </c>
      <c r="AV29" s="23">
        <v>0</v>
      </c>
      <c r="AW29" s="23">
        <v>0</v>
      </c>
      <c r="AX29" s="23">
        <v>0.26475026174785982</v>
      </c>
      <c r="AY29" s="23">
        <v>0.32823181622220848</v>
      </c>
      <c r="AZ29" s="23">
        <v>0.33147531599940583</v>
      </c>
      <c r="BA29" s="23">
        <v>0</v>
      </c>
      <c r="BB29" s="23">
        <v>0</v>
      </c>
      <c r="BC29" s="23">
        <v>0</v>
      </c>
      <c r="BD29" s="23">
        <v>0</v>
      </c>
      <c r="BE29" s="23">
        <v>0</v>
      </c>
      <c r="BF29" s="23">
        <v>0</v>
      </c>
      <c r="BG29" s="23">
        <v>5.3964174054175471</v>
      </c>
      <c r="BH29" s="23">
        <v>0</v>
      </c>
      <c r="BI29" s="23">
        <v>0</v>
      </c>
      <c r="BJ29" s="23">
        <v>0</v>
      </c>
      <c r="BK29" s="23">
        <v>0</v>
      </c>
      <c r="BL29" s="23">
        <v>0</v>
      </c>
      <c r="BM29" s="23">
        <v>0</v>
      </c>
      <c r="BN29" s="23">
        <v>0</v>
      </c>
      <c r="BO29" s="23">
        <v>0</v>
      </c>
      <c r="BP29" s="23">
        <v>0</v>
      </c>
      <c r="BQ29" s="23">
        <v>0</v>
      </c>
      <c r="BR29" s="23">
        <v>0</v>
      </c>
    </row>
    <row r="30" spans="1:70" x14ac:dyDescent="0.3">
      <c r="A30" s="63">
        <v>2017</v>
      </c>
      <c r="B30" s="382">
        <v>43011</v>
      </c>
      <c r="C30" s="382" t="s">
        <v>1719</v>
      </c>
      <c r="D30" s="63" t="s">
        <v>14</v>
      </c>
      <c r="E30" s="63" t="s">
        <v>1724</v>
      </c>
      <c r="F30" s="63" t="s">
        <v>196</v>
      </c>
      <c r="G30" s="63">
        <v>2016</v>
      </c>
      <c r="H30" s="63" t="s">
        <v>216</v>
      </c>
      <c r="I30" s="63" t="s">
        <v>112</v>
      </c>
      <c r="J30" s="63" t="s">
        <v>210</v>
      </c>
      <c r="K30" s="66">
        <v>21</v>
      </c>
      <c r="N30" s="28">
        <v>83.8</v>
      </c>
      <c r="P30" s="63">
        <v>25.767173525446836</v>
      </c>
      <c r="Q30" s="63">
        <v>8</v>
      </c>
      <c r="T30" s="379">
        <v>52.742883973341627</v>
      </c>
      <c r="U30" s="378">
        <v>2.2189774725690135</v>
      </c>
      <c r="V30" s="378">
        <v>7.876605951574704</v>
      </c>
      <c r="W30" s="63">
        <v>2.1647717678720975</v>
      </c>
      <c r="X30" s="63">
        <v>0.37299253834127788</v>
      </c>
      <c r="Y30" s="63">
        <v>5.1246413794582404</v>
      </c>
      <c r="Z30" s="63">
        <v>9.2902327361646027</v>
      </c>
      <c r="AA30" s="63">
        <v>17.065738197641011</v>
      </c>
      <c r="AB30" s="63">
        <v>44.611149701684738</v>
      </c>
      <c r="AC30" s="63">
        <v>7.0038045072162989</v>
      </c>
      <c r="AD30" s="63">
        <v>35.549348916614107</v>
      </c>
      <c r="AE30" s="63">
        <v>41.804157341265366</v>
      </c>
      <c r="AF30" s="63">
        <v>9.9619457081189573</v>
      </c>
      <c r="AG30" s="63">
        <v>7.4990074521700469</v>
      </c>
      <c r="AH30" s="63">
        <v>60.742142974432092</v>
      </c>
      <c r="AI30" s="63">
        <v>38.774265366851353</v>
      </c>
      <c r="AJ30" s="63">
        <v>116.74493014740665</v>
      </c>
      <c r="AK30" s="63">
        <v>2.4739283013318305</v>
      </c>
      <c r="AL30" s="63">
        <v>7.2263683178400075</v>
      </c>
      <c r="AM30" s="63">
        <v>10.088956570422308</v>
      </c>
      <c r="AN30" s="63">
        <v>27.981176885010917</v>
      </c>
      <c r="AO30" s="63">
        <v>2.061310892864034</v>
      </c>
      <c r="AP30" s="23">
        <v>0</v>
      </c>
      <c r="AQ30" s="23">
        <v>0</v>
      </c>
      <c r="AR30" s="23">
        <v>0</v>
      </c>
      <c r="AS30" s="23">
        <v>0</v>
      </c>
      <c r="AT30" s="23">
        <v>0.51471973622232692</v>
      </c>
      <c r="AU30" s="23">
        <v>0.62723004669819671</v>
      </c>
      <c r="AV30" s="23">
        <v>0.25907537062379626</v>
      </c>
      <c r="AW30" s="23">
        <v>0.47765317583970435</v>
      </c>
      <c r="AX30" s="23">
        <v>0.39678068045943699</v>
      </c>
      <c r="AY30" s="23">
        <v>0.31043244320446395</v>
      </c>
      <c r="AZ30" s="23">
        <v>0</v>
      </c>
      <c r="BA30" s="23">
        <v>0</v>
      </c>
      <c r="BB30" s="23">
        <v>0</v>
      </c>
      <c r="BC30" s="23">
        <v>0</v>
      </c>
      <c r="BD30" s="23">
        <v>0</v>
      </c>
      <c r="BE30" s="23">
        <v>0</v>
      </c>
      <c r="BF30" s="23">
        <v>0</v>
      </c>
      <c r="BG30" s="23">
        <v>3.5331937111958447</v>
      </c>
      <c r="BH30" s="23">
        <v>0</v>
      </c>
      <c r="BI30" s="23">
        <v>0</v>
      </c>
      <c r="BJ30" s="23">
        <v>0</v>
      </c>
      <c r="BK30" s="23">
        <v>0</v>
      </c>
      <c r="BL30" s="23">
        <v>0</v>
      </c>
      <c r="BM30" s="23">
        <v>0</v>
      </c>
      <c r="BN30" s="23">
        <v>0</v>
      </c>
      <c r="BO30" s="23">
        <v>0</v>
      </c>
      <c r="BP30" s="23">
        <v>0</v>
      </c>
      <c r="BQ30" s="23">
        <v>0</v>
      </c>
      <c r="BR30" s="23">
        <v>0</v>
      </c>
    </row>
    <row r="31" spans="1:70" x14ac:dyDescent="0.3">
      <c r="A31" s="63">
        <v>2017</v>
      </c>
      <c r="B31" s="382">
        <v>43011</v>
      </c>
      <c r="C31" s="382" t="s">
        <v>1719</v>
      </c>
      <c r="D31" s="63" t="s">
        <v>14</v>
      </c>
      <c r="E31" s="63" t="s">
        <v>1724</v>
      </c>
      <c r="F31" s="63" t="s">
        <v>196</v>
      </c>
      <c r="G31" s="63">
        <v>2016</v>
      </c>
      <c r="H31" s="63" t="s">
        <v>216</v>
      </c>
      <c r="I31" s="63" t="s">
        <v>111</v>
      </c>
      <c r="J31" s="63" t="s">
        <v>213</v>
      </c>
      <c r="K31" s="66">
        <v>21.4</v>
      </c>
      <c r="N31" s="28">
        <v>87.8</v>
      </c>
      <c r="P31" s="63">
        <v>24.040640774698659</v>
      </c>
      <c r="Q31" s="63">
        <v>8.5</v>
      </c>
      <c r="T31" s="379">
        <v>43.429477120940888</v>
      </c>
      <c r="U31" s="378">
        <v>2.1739450513337859</v>
      </c>
      <c r="V31" s="378">
        <v>7.7167563625184616</v>
      </c>
      <c r="W31" s="63">
        <v>1.8684087966782397</v>
      </c>
      <c r="X31" s="63">
        <v>0.38706193960216523</v>
      </c>
      <c r="Y31" s="63">
        <v>5.3379357438250103</v>
      </c>
      <c r="Z31" s="63">
        <v>7.546479002396044</v>
      </c>
      <c r="AA31" s="63">
        <v>15.95401517931278</v>
      </c>
      <c r="AB31" s="63">
        <v>42.016378843836264</v>
      </c>
      <c r="AC31" s="63">
        <v>6.8422047845817096</v>
      </c>
      <c r="AD31" s="63">
        <v>35.991463642263419</v>
      </c>
      <c r="AE31" s="63">
        <v>47.943203695356956</v>
      </c>
      <c r="AF31" s="63">
        <v>10.110102458351893</v>
      </c>
      <c r="AG31" s="63">
        <v>12.259610168540901</v>
      </c>
      <c r="AH31" s="63">
        <v>67.713660173204445</v>
      </c>
      <c r="AI31" s="63">
        <v>41.593284066981198</v>
      </c>
      <c r="AJ31" s="63">
        <v>139.39084014503868</v>
      </c>
      <c r="AK31" s="63">
        <v>2.6062710042556336</v>
      </c>
      <c r="AL31" s="63">
        <v>10.47001846959985</v>
      </c>
      <c r="AM31" s="63">
        <v>18.399280825486009</v>
      </c>
      <c r="AN31" s="63">
        <v>30.011216888962245</v>
      </c>
      <c r="AO31" s="63">
        <v>3.5551692525347125</v>
      </c>
      <c r="AP31" s="23">
        <v>0</v>
      </c>
      <c r="AQ31" s="23">
        <v>0</v>
      </c>
      <c r="AR31" s="23">
        <v>0</v>
      </c>
      <c r="AS31" s="23">
        <v>0</v>
      </c>
      <c r="AT31" s="23">
        <v>0.58056614044637989</v>
      </c>
      <c r="AU31" s="23">
        <v>0.63186525345031863</v>
      </c>
      <c r="AV31" s="23">
        <v>0.19216462180534036</v>
      </c>
      <c r="AW31" s="23">
        <v>0.80062602068590083</v>
      </c>
      <c r="AX31" s="23">
        <v>0.61281981491562332</v>
      </c>
      <c r="AY31" s="23">
        <v>0.6908002177463255</v>
      </c>
      <c r="AZ31" s="23">
        <v>0</v>
      </c>
      <c r="BA31" s="23">
        <v>0</v>
      </c>
      <c r="BB31" s="23">
        <v>0</v>
      </c>
      <c r="BC31" s="23">
        <v>0</v>
      </c>
      <c r="BD31" s="23">
        <v>0</v>
      </c>
      <c r="BE31" s="23">
        <v>0</v>
      </c>
      <c r="BF31" s="23">
        <v>0</v>
      </c>
      <c r="BG31" s="23">
        <v>2.4883592173940885</v>
      </c>
      <c r="BH31" s="23">
        <v>0</v>
      </c>
      <c r="BI31" s="23">
        <v>0</v>
      </c>
      <c r="BJ31" s="23">
        <v>0</v>
      </c>
      <c r="BK31" s="23">
        <v>0</v>
      </c>
      <c r="BL31" s="23">
        <v>0</v>
      </c>
      <c r="BM31" s="23">
        <v>0</v>
      </c>
      <c r="BN31" s="23">
        <v>0</v>
      </c>
      <c r="BO31" s="23">
        <v>0</v>
      </c>
      <c r="BP31" s="23">
        <v>0</v>
      </c>
      <c r="BQ31" s="23">
        <v>0</v>
      </c>
      <c r="BR31" s="23">
        <v>0</v>
      </c>
    </row>
    <row r="32" spans="1:70" x14ac:dyDescent="0.3">
      <c r="A32" s="63">
        <v>2017</v>
      </c>
      <c r="B32" s="382">
        <v>43020</v>
      </c>
      <c r="C32" s="382" t="s">
        <v>1719</v>
      </c>
      <c r="D32" s="63" t="s">
        <v>15</v>
      </c>
      <c r="E32" s="63" t="s">
        <v>1724</v>
      </c>
      <c r="F32" s="63" t="s">
        <v>196</v>
      </c>
      <c r="G32" s="63">
        <v>2016</v>
      </c>
      <c r="H32" s="63" t="s">
        <v>216</v>
      </c>
      <c r="I32" s="63" t="s">
        <v>212</v>
      </c>
      <c r="J32" s="63" t="s">
        <v>213</v>
      </c>
      <c r="K32" s="66">
        <v>25.6</v>
      </c>
      <c r="N32" s="28">
        <v>161</v>
      </c>
      <c r="P32" s="63">
        <v>25.504390775714782</v>
      </c>
      <c r="Q32" s="63">
        <v>7.5</v>
      </c>
      <c r="T32" s="379">
        <v>103.67367754125567</v>
      </c>
      <c r="U32" s="378">
        <v>4.7266941426060596</v>
      </c>
      <c r="V32" s="378">
        <v>7.9601211004046259</v>
      </c>
      <c r="W32" s="63">
        <v>3.260783106278526</v>
      </c>
      <c r="X32" s="63">
        <v>1.0297619167964009</v>
      </c>
      <c r="Y32" s="63">
        <v>9.2415229392862983</v>
      </c>
      <c r="Z32" s="63">
        <v>13.103513924239499</v>
      </c>
      <c r="AA32" s="63">
        <v>22.823358811329953</v>
      </c>
      <c r="AB32" s="63">
        <v>47.800361150617192</v>
      </c>
      <c r="AC32" s="63">
        <v>7.3885909066778224</v>
      </c>
      <c r="AD32" s="63">
        <v>43.616965895335149</v>
      </c>
      <c r="AE32" s="63">
        <v>50.089407311780739</v>
      </c>
      <c r="AF32" s="63">
        <v>10.043253630889495</v>
      </c>
      <c r="AG32" s="63">
        <v>10.693813209412973</v>
      </c>
      <c r="AH32" s="63">
        <v>61.040033821671983</v>
      </c>
      <c r="AI32" s="63">
        <v>39.784734771776129</v>
      </c>
      <c r="AJ32" s="63">
        <v>118.95089575644525</v>
      </c>
      <c r="AK32" s="63">
        <v>3.224751719451282</v>
      </c>
      <c r="AL32" s="63">
        <v>9.4958969750057491</v>
      </c>
      <c r="AM32" s="63">
        <v>15.752013846358839</v>
      </c>
      <c r="AN32" s="63">
        <v>25.80675385794915</v>
      </c>
      <c r="AO32" s="63">
        <v>3.108967029243574</v>
      </c>
      <c r="AP32" s="23">
        <v>2.9173553719008263</v>
      </c>
      <c r="AQ32" s="23">
        <v>0</v>
      </c>
      <c r="AR32" s="23">
        <v>0</v>
      </c>
      <c r="AS32" s="23">
        <v>0</v>
      </c>
      <c r="AT32" s="23">
        <v>0.50939143501126971</v>
      </c>
      <c r="AU32" s="23">
        <v>0.8529694612630927</v>
      </c>
      <c r="AV32" s="23">
        <v>0.27221435589204179</v>
      </c>
      <c r="AW32" s="23">
        <v>0.78812922614575509</v>
      </c>
      <c r="AX32" s="23">
        <v>0.46731780616078139</v>
      </c>
      <c r="AY32" s="23">
        <v>0.46468820435762587</v>
      </c>
      <c r="AZ32" s="23">
        <v>1.2870358421355017</v>
      </c>
      <c r="BA32" s="23">
        <v>0</v>
      </c>
      <c r="BB32" s="23">
        <v>0</v>
      </c>
      <c r="BC32" s="23">
        <v>0</v>
      </c>
      <c r="BD32" s="23">
        <v>0</v>
      </c>
      <c r="BE32" s="23">
        <v>0</v>
      </c>
      <c r="BF32" s="23">
        <v>0</v>
      </c>
      <c r="BG32" s="23">
        <v>5.9516524506121007</v>
      </c>
      <c r="BH32" s="23">
        <v>0.77767578556591677</v>
      </c>
      <c r="BI32" s="23">
        <v>0</v>
      </c>
      <c r="BJ32" s="23">
        <v>0</v>
      </c>
      <c r="BK32" s="23">
        <v>0</v>
      </c>
      <c r="BL32" s="23">
        <v>0</v>
      </c>
      <c r="BM32" s="23">
        <v>0</v>
      </c>
      <c r="BN32" s="23">
        <v>0</v>
      </c>
      <c r="BO32" s="23">
        <v>0</v>
      </c>
      <c r="BP32" s="23">
        <v>0</v>
      </c>
      <c r="BQ32" s="23">
        <v>0</v>
      </c>
      <c r="BR32" s="23">
        <v>0</v>
      </c>
    </row>
    <row r="33" spans="1:70" x14ac:dyDescent="0.3">
      <c r="A33" s="63">
        <v>2018</v>
      </c>
      <c r="B33" s="382">
        <v>43370</v>
      </c>
      <c r="C33" s="382" t="s">
        <v>1719</v>
      </c>
      <c r="D33" s="63" t="s">
        <v>3</v>
      </c>
      <c r="E33" s="63" t="s">
        <v>1724</v>
      </c>
      <c r="F33" s="63" t="s">
        <v>196</v>
      </c>
      <c r="G33" s="63">
        <v>2017</v>
      </c>
      <c r="H33" s="63" t="s">
        <v>216</v>
      </c>
      <c r="I33" s="63" t="s">
        <v>222</v>
      </c>
      <c r="J33" s="63" t="s">
        <v>213</v>
      </c>
      <c r="K33" s="66">
        <v>19.399999999999999</v>
      </c>
      <c r="M33" s="66">
        <v>17</v>
      </c>
      <c r="N33" s="28">
        <v>59.045999999999999</v>
      </c>
      <c r="P33" s="63">
        <v>26.240208877284601</v>
      </c>
      <c r="Q33" s="63">
        <v>6.42</v>
      </c>
      <c r="T33" s="380">
        <v>86.202908376148216</v>
      </c>
      <c r="U33" s="377">
        <v>2.6899481509103138</v>
      </c>
      <c r="V33" s="377">
        <v>15.053472794574768</v>
      </c>
      <c r="W33" s="63">
        <v>2.7667333368375413</v>
      </c>
      <c r="X33" s="63">
        <v>0.98616923867095085</v>
      </c>
      <c r="Y33" s="63">
        <v>6.0772779567432194</v>
      </c>
      <c r="Z33" s="63">
        <v>11.367036237022045</v>
      </c>
      <c r="AA33" s="63">
        <v>18.437161020027808</v>
      </c>
      <c r="AB33" s="63">
        <v>46.017503862946853</v>
      </c>
      <c r="AC33" s="63">
        <v>7.5743271583149356</v>
      </c>
      <c r="AD33" s="63">
        <v>33.22101413120474</v>
      </c>
      <c r="AE33" s="63">
        <v>44.715012904791138</v>
      </c>
      <c r="AF33" s="63">
        <v>11.752357680455503</v>
      </c>
      <c r="AG33" s="63">
        <v>7.6410470891246023</v>
      </c>
      <c r="AH33" s="63">
        <v>76.081763820116038</v>
      </c>
      <c r="AI33" s="63">
        <v>35.305684812115842</v>
      </c>
      <c r="AJ33" s="63">
        <v>143.79825299880559</v>
      </c>
      <c r="AK33" s="63">
        <v>4.2796013272265716</v>
      </c>
      <c r="AL33" s="63">
        <v>16.852244084910488</v>
      </c>
      <c r="AM33" s="63">
        <v>40.667661423026431</v>
      </c>
      <c r="AN33" s="63">
        <v>34.553015539039592</v>
      </c>
      <c r="AO33" s="63">
        <v>5.884807221409198</v>
      </c>
      <c r="AP33" s="23">
        <v>0</v>
      </c>
      <c r="AQ33" s="23">
        <v>0</v>
      </c>
      <c r="AR33" s="23">
        <v>0</v>
      </c>
      <c r="AS33" s="23">
        <v>0</v>
      </c>
      <c r="AT33" s="23">
        <v>0.6428977272727272</v>
      </c>
      <c r="AU33" s="23">
        <v>1.1639920300287947</v>
      </c>
      <c r="AV33" s="23">
        <v>0.35508640398063462</v>
      </c>
      <c r="AW33" s="23">
        <v>1.0417176573426574</v>
      </c>
      <c r="AX33" s="23">
        <v>0.43232080419580421</v>
      </c>
      <c r="AY33" s="23">
        <v>0</v>
      </c>
      <c r="AZ33" s="23">
        <v>1.3743144796380087</v>
      </c>
      <c r="BA33" s="23">
        <v>0</v>
      </c>
      <c r="BB33" s="23">
        <v>0</v>
      </c>
      <c r="BC33" s="23">
        <v>0.31650349650349646</v>
      </c>
      <c r="BD33" s="23">
        <v>0</v>
      </c>
      <c r="BE33" s="23">
        <v>0</v>
      </c>
      <c r="BF33" s="23">
        <v>0</v>
      </c>
      <c r="BG33" s="23">
        <v>6.7326175956396543</v>
      </c>
      <c r="BH33" s="23">
        <v>0</v>
      </c>
      <c r="BI33" s="23">
        <v>0</v>
      </c>
      <c r="BJ33" s="23">
        <v>0</v>
      </c>
      <c r="BK33" s="23">
        <v>0</v>
      </c>
      <c r="BL33" s="23">
        <v>0</v>
      </c>
      <c r="BM33" s="23">
        <v>0</v>
      </c>
      <c r="BN33" s="23">
        <v>0</v>
      </c>
      <c r="BO33" s="23">
        <v>0</v>
      </c>
      <c r="BP33" s="23">
        <v>0</v>
      </c>
      <c r="BQ33" s="23">
        <v>0</v>
      </c>
      <c r="BR33" s="23">
        <v>0</v>
      </c>
    </row>
    <row r="34" spans="1:70" x14ac:dyDescent="0.3">
      <c r="A34" s="63">
        <v>2018</v>
      </c>
      <c r="B34" s="382">
        <v>43370</v>
      </c>
      <c r="C34" s="382" t="s">
        <v>1719</v>
      </c>
      <c r="D34" s="63" t="s">
        <v>3</v>
      </c>
      <c r="E34" s="63" t="s">
        <v>1724</v>
      </c>
      <c r="F34" s="63" t="s">
        <v>196</v>
      </c>
      <c r="G34" s="63">
        <v>2017</v>
      </c>
      <c r="H34" s="63" t="s">
        <v>216</v>
      </c>
      <c r="I34" s="63" t="s">
        <v>223</v>
      </c>
      <c r="J34" s="63" t="s">
        <v>213</v>
      </c>
      <c r="K34" s="66">
        <v>19.2</v>
      </c>
      <c r="M34" s="66">
        <v>17</v>
      </c>
      <c r="N34" s="28">
        <v>68.632000000000005</v>
      </c>
      <c r="P34" s="63">
        <v>22.076897246474118</v>
      </c>
      <c r="Q34" s="63">
        <v>6.6</v>
      </c>
      <c r="T34" s="380">
        <v>152.41921550964491</v>
      </c>
      <c r="U34" s="377">
        <v>2.3681923586496043</v>
      </c>
      <c r="V34" s="377">
        <v>13.252864829824846</v>
      </c>
      <c r="W34" s="63">
        <v>3.6826209485183474</v>
      </c>
      <c r="X34" s="63">
        <v>1.6123940003066211</v>
      </c>
      <c r="Y34" s="63">
        <v>9.0835556599668514</v>
      </c>
      <c r="Z34" s="63">
        <v>16.947201859976541</v>
      </c>
      <c r="AA34" s="63">
        <v>24.709047818918371</v>
      </c>
      <c r="AB34" s="63">
        <v>60.099342315042406</v>
      </c>
      <c r="AC34" s="63">
        <v>9.5619938669350901</v>
      </c>
      <c r="AD34" s="63">
        <v>52.51109582038913</v>
      </c>
      <c r="AE34" s="63">
        <v>54.395158834403659</v>
      </c>
      <c r="AF34" s="63">
        <v>13.905370867208479</v>
      </c>
      <c r="AG34" s="63">
        <v>10.659077040899941</v>
      </c>
      <c r="AH34" s="63">
        <v>87.903321433811925</v>
      </c>
      <c r="AI34" s="63">
        <v>51.272593702230211</v>
      </c>
      <c r="AJ34" s="63">
        <v>160.96745274782154</v>
      </c>
      <c r="AK34" s="63">
        <v>5.6235419580105974</v>
      </c>
      <c r="AL34" s="63">
        <v>15.787665235326537</v>
      </c>
      <c r="AM34" s="63">
        <v>42.551590191640813</v>
      </c>
      <c r="AN34" s="63">
        <v>40.442187182187965</v>
      </c>
      <c r="AO34" s="63">
        <v>6.0628878273446274</v>
      </c>
      <c r="AP34" s="23">
        <v>0</v>
      </c>
      <c r="AQ34" s="23">
        <v>0</v>
      </c>
      <c r="AR34" s="23">
        <v>0</v>
      </c>
      <c r="AS34" s="23">
        <v>0</v>
      </c>
      <c r="AT34" s="23">
        <v>0.3972023098367185</v>
      </c>
      <c r="AU34" s="23">
        <v>1.2034836558713851</v>
      </c>
      <c r="AV34" s="23">
        <v>0.36134086940538551</v>
      </c>
      <c r="AW34" s="23">
        <v>0.90058741537236175</v>
      </c>
      <c r="AX34" s="23">
        <v>0.5198309257449043</v>
      </c>
      <c r="AY34" s="23">
        <v>0</v>
      </c>
      <c r="AZ34" s="23">
        <v>1.437041349612507</v>
      </c>
      <c r="BA34" s="23">
        <v>0</v>
      </c>
      <c r="BB34" s="23">
        <v>0</v>
      </c>
      <c r="BC34" s="23">
        <v>0</v>
      </c>
      <c r="BD34" s="23">
        <v>0</v>
      </c>
      <c r="BE34" s="23">
        <v>0</v>
      </c>
      <c r="BF34" s="23">
        <v>0</v>
      </c>
      <c r="BG34" s="23">
        <v>6.9562421069220566</v>
      </c>
      <c r="BH34" s="23">
        <v>1.0796714243425185</v>
      </c>
      <c r="BI34" s="23">
        <v>0</v>
      </c>
      <c r="BJ34" s="23">
        <v>0</v>
      </c>
      <c r="BK34" s="23">
        <v>0</v>
      </c>
      <c r="BL34" s="23">
        <v>0</v>
      </c>
      <c r="BM34" s="23">
        <v>0</v>
      </c>
      <c r="BN34" s="23">
        <v>0</v>
      </c>
      <c r="BO34" s="23">
        <v>0</v>
      </c>
      <c r="BP34" s="23">
        <v>0</v>
      </c>
      <c r="BQ34" s="23">
        <v>0</v>
      </c>
      <c r="BR34" s="23">
        <v>0</v>
      </c>
    </row>
    <row r="35" spans="1:70" x14ac:dyDescent="0.3">
      <c r="A35" s="63">
        <v>2018</v>
      </c>
      <c r="B35" s="382">
        <v>43370</v>
      </c>
      <c r="C35" s="382" t="s">
        <v>1719</v>
      </c>
      <c r="D35" s="63" t="s">
        <v>3</v>
      </c>
      <c r="E35" s="63" t="s">
        <v>1724</v>
      </c>
      <c r="F35" s="63" t="s">
        <v>196</v>
      </c>
      <c r="G35" s="63">
        <v>2017</v>
      </c>
      <c r="H35" s="63" t="s">
        <v>216</v>
      </c>
      <c r="I35" s="63" t="s">
        <v>224</v>
      </c>
      <c r="J35" s="63" t="s">
        <v>213</v>
      </c>
      <c r="K35" s="66">
        <v>19</v>
      </c>
      <c r="M35" s="66">
        <v>16.3</v>
      </c>
      <c r="N35" s="28">
        <v>66.317999999999998</v>
      </c>
      <c r="P35" s="63">
        <v>22.242166533059148</v>
      </c>
      <c r="Q35" s="63">
        <v>5.07</v>
      </c>
      <c r="T35" s="380">
        <v>73.969839521529806</v>
      </c>
      <c r="U35" s="377">
        <v>1.7729896760558181</v>
      </c>
      <c r="V35" s="377">
        <v>12.193708810611373</v>
      </c>
      <c r="W35" s="63">
        <v>2.476347359589564</v>
      </c>
      <c r="X35" s="63">
        <v>0.86393194827283737</v>
      </c>
      <c r="Y35" s="63">
        <v>7.19471348053324</v>
      </c>
      <c r="Z35" s="63">
        <v>13.935007122747216</v>
      </c>
      <c r="AA35" s="63">
        <v>20.377535781501756</v>
      </c>
      <c r="AB35" s="63">
        <v>59.965958683747537</v>
      </c>
      <c r="AC35" s="63">
        <v>8.3331207339161057</v>
      </c>
      <c r="AD35" s="63">
        <v>44.001991149880084</v>
      </c>
      <c r="AE35" s="63">
        <v>48.761102572114211</v>
      </c>
      <c r="AF35" s="63">
        <v>13.556766549365406</v>
      </c>
      <c r="AG35" s="63">
        <v>11.845862641928219</v>
      </c>
      <c r="AH35" s="63">
        <v>91.110732664546575</v>
      </c>
      <c r="AI35" s="63">
        <v>51.560304396699976</v>
      </c>
      <c r="AJ35" s="63">
        <v>173.20760699957722</v>
      </c>
      <c r="AK35" s="63">
        <v>4.1310621872413957</v>
      </c>
      <c r="AL35" s="63">
        <v>20.059278030812951</v>
      </c>
      <c r="AM35" s="63">
        <v>49.663611606529116</v>
      </c>
      <c r="AN35" s="63">
        <v>45.556913088932731</v>
      </c>
      <c r="AO35" s="63">
        <v>7.3037655070656005</v>
      </c>
      <c r="AP35" s="23">
        <v>0.56467680047225488</v>
      </c>
      <c r="AQ35" s="23">
        <v>0</v>
      </c>
      <c r="AR35" s="23">
        <v>0</v>
      </c>
      <c r="AS35" s="23">
        <v>0</v>
      </c>
      <c r="AT35" s="23">
        <v>0.65822849025974017</v>
      </c>
      <c r="AU35" s="23">
        <v>1.6533462610250711</v>
      </c>
      <c r="AV35" s="23">
        <v>0.49926103725819632</v>
      </c>
      <c r="AW35" s="23">
        <v>0.86022819510035409</v>
      </c>
      <c r="AX35" s="23">
        <v>0.5627628763282172</v>
      </c>
      <c r="AY35" s="23">
        <v>0</v>
      </c>
      <c r="AZ35" s="23">
        <v>1.1069959827939437</v>
      </c>
      <c r="BA35" s="23">
        <v>0</v>
      </c>
      <c r="BB35" s="23">
        <v>0</v>
      </c>
      <c r="BC35" s="23">
        <v>0.36525974025974023</v>
      </c>
      <c r="BD35" s="23">
        <v>0</v>
      </c>
      <c r="BE35" s="23">
        <v>0</v>
      </c>
      <c r="BF35" s="23">
        <v>0</v>
      </c>
      <c r="BG35" s="23">
        <v>9.2574615641711233</v>
      </c>
      <c r="BH35" s="23">
        <v>1.3745611131849431</v>
      </c>
      <c r="BI35" s="23">
        <v>0</v>
      </c>
      <c r="BJ35" s="23">
        <v>0</v>
      </c>
      <c r="BK35" s="23">
        <v>0</v>
      </c>
      <c r="BL35" s="23">
        <v>0</v>
      </c>
      <c r="BM35" s="23">
        <v>6.0184843565525371E-2</v>
      </c>
      <c r="BN35" s="23">
        <v>0</v>
      </c>
      <c r="BO35" s="23">
        <v>0</v>
      </c>
      <c r="BP35" s="23">
        <v>0</v>
      </c>
      <c r="BQ35" s="23">
        <v>0</v>
      </c>
      <c r="BR35" s="23">
        <v>0</v>
      </c>
    </row>
    <row r="36" spans="1:70" x14ac:dyDescent="0.3">
      <c r="A36" s="63">
        <v>2018</v>
      </c>
      <c r="B36" s="382">
        <v>43370</v>
      </c>
      <c r="C36" s="382" t="s">
        <v>1719</v>
      </c>
      <c r="D36" s="63" t="s">
        <v>3</v>
      </c>
      <c r="E36" s="63" t="s">
        <v>1724</v>
      </c>
      <c r="F36" s="63" t="s">
        <v>196</v>
      </c>
      <c r="G36" s="63">
        <v>2017</v>
      </c>
      <c r="H36" s="63" t="s">
        <v>216</v>
      </c>
      <c r="I36" s="63" t="s">
        <v>225</v>
      </c>
      <c r="J36" s="63" t="s">
        <v>210</v>
      </c>
      <c r="K36" s="66">
        <v>21.5</v>
      </c>
      <c r="M36" s="66">
        <v>18.8</v>
      </c>
      <c r="N36" s="28">
        <v>95.64</v>
      </c>
      <c r="P36" s="63">
        <v>26.449233738483102</v>
      </c>
      <c r="Q36" s="63">
        <v>11.5</v>
      </c>
      <c r="T36" s="380">
        <v>247.03932719409093</v>
      </c>
      <c r="U36" s="377">
        <v>2.4167135510176267</v>
      </c>
      <c r="V36" s="377">
        <v>13.524398855127592</v>
      </c>
      <c r="W36" s="63">
        <v>4.4382133672774229</v>
      </c>
      <c r="X36" s="63">
        <v>1.3077965088433268</v>
      </c>
      <c r="Y36" s="63">
        <v>13.584984277314804</v>
      </c>
      <c r="Z36" s="63">
        <v>26.11437068676053</v>
      </c>
      <c r="AA36" s="63">
        <v>33.795012828830941</v>
      </c>
      <c r="AB36" s="63">
        <v>78.161149122193706</v>
      </c>
      <c r="AC36" s="63">
        <v>10.23174154408375</v>
      </c>
      <c r="AD36" s="63">
        <v>62.705558933349245</v>
      </c>
      <c r="AE36" s="63">
        <v>63.090009534861466</v>
      </c>
      <c r="AF36" s="63">
        <v>15.457610131418367</v>
      </c>
      <c r="AG36" s="63">
        <v>13.245238360786487</v>
      </c>
      <c r="AH36" s="63">
        <v>100.1696473717644</v>
      </c>
      <c r="AI36" s="63">
        <v>64.438716685383753</v>
      </c>
      <c r="AJ36" s="63">
        <v>187.79085948192906</v>
      </c>
      <c r="AK36" s="63">
        <v>6.6462421408122694</v>
      </c>
      <c r="AL36" s="63">
        <v>22.260944084335922</v>
      </c>
      <c r="AM36" s="63">
        <v>53.489379538723377</v>
      </c>
      <c r="AN36" s="63">
        <v>47.980165971643004</v>
      </c>
      <c r="AO36" s="63">
        <v>8.4663097900248339</v>
      </c>
      <c r="AP36" s="23">
        <v>0.8605439914876637</v>
      </c>
      <c r="AQ36" s="23">
        <v>0</v>
      </c>
      <c r="AR36" s="23">
        <v>0</v>
      </c>
      <c r="AS36" s="23">
        <v>0</v>
      </c>
      <c r="AT36" s="23">
        <v>0.34259243865132671</v>
      </c>
      <c r="AU36" s="23">
        <v>0.98163437051351765</v>
      </c>
      <c r="AV36" s="23">
        <v>0</v>
      </c>
      <c r="AW36" s="23">
        <v>0.84479118175167922</v>
      </c>
      <c r="AX36" s="23">
        <v>0.47164909888940615</v>
      </c>
      <c r="AY36" s="23">
        <v>0</v>
      </c>
      <c r="AZ36" s="23">
        <v>0.85926445160760312</v>
      </c>
      <c r="BA36" s="23">
        <v>0</v>
      </c>
      <c r="BB36" s="23">
        <v>0</v>
      </c>
      <c r="BC36" s="23">
        <v>0.19452018354725009</v>
      </c>
      <c r="BD36" s="23">
        <v>0</v>
      </c>
      <c r="BE36" s="23">
        <v>0</v>
      </c>
      <c r="BF36" s="23">
        <v>0</v>
      </c>
      <c r="BG36" s="23">
        <v>5.4587804494012806</v>
      </c>
      <c r="BH36" s="23">
        <v>0</v>
      </c>
      <c r="BI36" s="23">
        <v>0</v>
      </c>
      <c r="BJ36" s="23">
        <v>0</v>
      </c>
      <c r="BK36" s="23">
        <v>0</v>
      </c>
      <c r="BL36" s="23">
        <v>0</v>
      </c>
      <c r="BM36" s="23">
        <v>0</v>
      </c>
      <c r="BN36" s="23">
        <v>0</v>
      </c>
      <c r="BO36" s="23">
        <v>0</v>
      </c>
      <c r="BP36" s="23">
        <v>0</v>
      </c>
      <c r="BQ36" s="23">
        <v>0</v>
      </c>
      <c r="BR36" s="23">
        <v>0</v>
      </c>
    </row>
    <row r="37" spans="1:70" x14ac:dyDescent="0.3">
      <c r="A37" s="63">
        <v>2018</v>
      </c>
      <c r="B37" s="382">
        <v>43370</v>
      </c>
      <c r="C37" s="382" t="s">
        <v>1719</v>
      </c>
      <c r="D37" s="63" t="s">
        <v>3</v>
      </c>
      <c r="E37" s="63" t="s">
        <v>1724</v>
      </c>
      <c r="F37" s="63" t="s">
        <v>196</v>
      </c>
      <c r="G37" s="63">
        <v>2017</v>
      </c>
      <c r="H37" s="63" t="s">
        <v>216</v>
      </c>
      <c r="I37" s="63" t="s">
        <v>226</v>
      </c>
      <c r="J37" s="63" t="s">
        <v>210</v>
      </c>
      <c r="K37" s="66">
        <v>19</v>
      </c>
      <c r="M37" s="66">
        <v>16.8</v>
      </c>
      <c r="N37" s="28">
        <v>66.260000000000005</v>
      </c>
      <c r="P37" s="63">
        <v>22.897511390364656</v>
      </c>
      <c r="Q37" s="63">
        <v>6.6</v>
      </c>
      <c r="T37" s="380">
        <v>97.168262847647</v>
      </c>
      <c r="U37" s="380">
        <v>2.3380585196867494</v>
      </c>
      <c r="V37" s="380">
        <v>13.778196154028223</v>
      </c>
      <c r="W37" s="63">
        <v>2.6450718784932374</v>
      </c>
      <c r="X37" s="63">
        <v>1.1025249587791957</v>
      </c>
      <c r="Y37" s="63">
        <v>8.4626867282274389</v>
      </c>
      <c r="Z37" s="63">
        <v>17.006925842904852</v>
      </c>
      <c r="AA37" s="63">
        <v>22.828434121017636</v>
      </c>
      <c r="AB37" s="63">
        <v>57.771384180411886</v>
      </c>
      <c r="AC37" s="63">
        <v>7.5179895011793754</v>
      </c>
      <c r="AD37" s="63">
        <v>45.71976207159662</v>
      </c>
      <c r="AE37" s="63">
        <v>48.735860718501598</v>
      </c>
      <c r="AF37" s="63">
        <v>12.703319788931047</v>
      </c>
      <c r="AG37" s="63">
        <v>9.0663022246910039</v>
      </c>
      <c r="AH37" s="63">
        <v>83.839276075257231</v>
      </c>
      <c r="AI37" s="63">
        <v>47.042810866531866</v>
      </c>
      <c r="AJ37" s="63">
        <v>164.92288020778943</v>
      </c>
      <c r="AK37" s="63">
        <v>4.9073419576293773</v>
      </c>
      <c r="AL37" s="63">
        <v>17.155067630298493</v>
      </c>
      <c r="AM37" s="63">
        <v>44.421738758933159</v>
      </c>
      <c r="AN37" s="63">
        <v>41.693504887735223</v>
      </c>
      <c r="AO37" s="63">
        <v>6.2571665521106556</v>
      </c>
      <c r="AP37" s="23">
        <v>0.92497104211037628</v>
      </c>
      <c r="AQ37" s="23">
        <v>0</v>
      </c>
      <c r="AR37" s="23">
        <v>0</v>
      </c>
      <c r="AS37" s="23">
        <v>0</v>
      </c>
      <c r="AT37" s="23">
        <v>0.40791391099652508</v>
      </c>
      <c r="AU37" s="23">
        <v>1.2649571071562802</v>
      </c>
      <c r="AV37" s="23">
        <v>0.45889273077929055</v>
      </c>
      <c r="AW37" s="23">
        <v>0.65945521802488505</v>
      </c>
      <c r="AX37" s="23">
        <v>0.34771886559802712</v>
      </c>
      <c r="AY37" s="23">
        <v>0.6840040354220378</v>
      </c>
      <c r="AZ37" s="23">
        <v>1.1878673585788981</v>
      </c>
      <c r="BA37" s="23">
        <v>0</v>
      </c>
      <c r="BB37" s="23">
        <v>0</v>
      </c>
      <c r="BC37" s="23">
        <v>0.31375406344580203</v>
      </c>
      <c r="BD37" s="23">
        <v>0</v>
      </c>
      <c r="BE37" s="23">
        <v>0</v>
      </c>
      <c r="BF37" s="23">
        <v>0</v>
      </c>
      <c r="BG37" s="23">
        <v>6.2181739055895866</v>
      </c>
      <c r="BH37" s="23">
        <v>0</v>
      </c>
      <c r="BI37" s="23">
        <v>0</v>
      </c>
      <c r="BJ37" s="23">
        <v>0</v>
      </c>
      <c r="BK37" s="23">
        <v>0</v>
      </c>
      <c r="BL37" s="23">
        <v>0</v>
      </c>
      <c r="BM37" s="23">
        <v>8.7097858984418783E-2</v>
      </c>
      <c r="BN37" s="23">
        <v>0</v>
      </c>
      <c r="BO37" s="23">
        <v>0</v>
      </c>
      <c r="BP37" s="23">
        <v>0</v>
      </c>
      <c r="BQ37" s="23">
        <v>0</v>
      </c>
      <c r="BR37" s="23">
        <v>0</v>
      </c>
    </row>
    <row r="38" spans="1:70" x14ac:dyDescent="0.3">
      <c r="A38" s="63">
        <v>2018</v>
      </c>
      <c r="B38" s="382">
        <v>43370</v>
      </c>
      <c r="C38" s="382" t="s">
        <v>1719</v>
      </c>
      <c r="D38" s="63" t="s">
        <v>3</v>
      </c>
      <c r="E38" s="63" t="s">
        <v>1724</v>
      </c>
      <c r="F38" s="63" t="s">
        <v>196</v>
      </c>
      <c r="G38" s="63">
        <v>2017</v>
      </c>
      <c r="H38" s="63" t="s">
        <v>216</v>
      </c>
      <c r="I38" s="63" t="s">
        <v>227</v>
      </c>
      <c r="J38" s="63" t="s">
        <v>213</v>
      </c>
      <c r="K38" s="66">
        <v>19</v>
      </c>
      <c r="M38" s="66">
        <v>16.8</v>
      </c>
      <c r="N38" s="28">
        <v>66.739999999999995</v>
      </c>
      <c r="P38" s="63">
        <v>22.497662133118979</v>
      </c>
      <c r="Q38" s="63">
        <v>5.8</v>
      </c>
      <c r="T38" s="380">
        <v>74.939516585468269</v>
      </c>
      <c r="U38" s="377">
        <v>2.3568606930037137</v>
      </c>
      <c r="V38" s="377">
        <v>13.189450625926563</v>
      </c>
      <c r="W38" s="63">
        <v>2.2639512732022018</v>
      </c>
      <c r="X38" s="63">
        <v>0.68235453923235823</v>
      </c>
      <c r="Y38" s="63">
        <v>6.6731998427560733</v>
      </c>
      <c r="Z38" s="63">
        <v>13.41906390195596</v>
      </c>
      <c r="AA38" s="63">
        <v>19.443804040070304</v>
      </c>
      <c r="AB38" s="63">
        <v>51.259539839636346</v>
      </c>
      <c r="AC38" s="63">
        <v>7.2219344432598165</v>
      </c>
      <c r="AD38" s="63">
        <v>40.297282987324074</v>
      </c>
      <c r="AE38" s="63">
        <v>45.211579460354969</v>
      </c>
      <c r="AF38" s="63">
        <v>11.611049617666023</v>
      </c>
      <c r="AG38" s="63">
        <v>8.7828706596588439</v>
      </c>
      <c r="AH38" s="63">
        <v>74.586757978966958</v>
      </c>
      <c r="AI38" s="63">
        <v>43.084773762954114</v>
      </c>
      <c r="AJ38" s="63">
        <v>143.25769189621633</v>
      </c>
      <c r="AK38" s="63">
        <v>4.1803283835458007</v>
      </c>
      <c r="AL38" s="63">
        <v>13.817311614291917</v>
      </c>
      <c r="AM38" s="63">
        <v>35.5427246545526</v>
      </c>
      <c r="AN38" s="63">
        <v>34.576064539388682</v>
      </c>
      <c r="AO38" s="63">
        <v>4.9897010369913852</v>
      </c>
      <c r="AP38" s="23">
        <v>0</v>
      </c>
      <c r="AQ38" s="23">
        <v>0</v>
      </c>
      <c r="AR38" s="23">
        <v>0</v>
      </c>
      <c r="AS38" s="23">
        <v>0</v>
      </c>
      <c r="AT38" s="23">
        <v>0.39573328407831548</v>
      </c>
      <c r="AU38" s="23">
        <v>0.78923488124470331</v>
      </c>
      <c r="AV38" s="23">
        <v>0.26942257963683897</v>
      </c>
      <c r="AW38" s="23">
        <v>0.53703361654968607</v>
      </c>
      <c r="AX38" s="23">
        <v>0</v>
      </c>
      <c r="AY38" s="23">
        <v>0.39988917620982639</v>
      </c>
      <c r="AZ38" s="23">
        <v>0.94960940046502518</v>
      </c>
      <c r="BA38" s="23">
        <v>0</v>
      </c>
      <c r="BB38" s="23">
        <v>0</v>
      </c>
      <c r="BC38" s="23">
        <v>0.203638714444034</v>
      </c>
      <c r="BD38" s="23">
        <v>0</v>
      </c>
      <c r="BE38" s="23">
        <v>0</v>
      </c>
      <c r="BF38" s="23">
        <v>0</v>
      </c>
      <c r="BG38" s="23">
        <v>7.2604858862643695</v>
      </c>
      <c r="BH38" s="23">
        <v>0.85126034898628833</v>
      </c>
      <c r="BI38" s="23">
        <v>0</v>
      </c>
      <c r="BJ38" s="23">
        <v>0</v>
      </c>
      <c r="BK38" s="23">
        <v>0</v>
      </c>
      <c r="BL38" s="23">
        <v>0</v>
      </c>
      <c r="BM38" s="23">
        <v>4.432951606944957E-2</v>
      </c>
      <c r="BN38" s="23">
        <v>0</v>
      </c>
      <c r="BO38" s="23">
        <v>0</v>
      </c>
      <c r="BP38" s="23">
        <v>0</v>
      </c>
      <c r="BQ38" s="23">
        <v>0</v>
      </c>
      <c r="BR38" s="23">
        <v>0</v>
      </c>
    </row>
    <row r="39" spans="1:70" x14ac:dyDescent="0.3">
      <c r="A39" s="63">
        <v>2018</v>
      </c>
      <c r="B39" s="382">
        <v>43370</v>
      </c>
      <c r="C39" s="382" t="s">
        <v>1719</v>
      </c>
      <c r="D39" s="63" t="s">
        <v>3</v>
      </c>
      <c r="E39" s="63" t="s">
        <v>1724</v>
      </c>
      <c r="F39" s="63" t="s">
        <v>196</v>
      </c>
      <c r="G39" s="63">
        <v>2017</v>
      </c>
      <c r="H39" s="63" t="s">
        <v>216</v>
      </c>
      <c r="I39" s="63" t="s">
        <v>228</v>
      </c>
      <c r="J39" s="63" t="s">
        <v>213</v>
      </c>
      <c r="K39" s="66">
        <v>21.5</v>
      </c>
      <c r="M39" s="66">
        <v>19</v>
      </c>
      <c r="N39" s="28">
        <v>101.44199999999999</v>
      </c>
      <c r="P39" s="63">
        <v>23.185168639714078</v>
      </c>
      <c r="Q39" s="63">
        <v>7.56</v>
      </c>
      <c r="T39" s="380">
        <v>666.15593332137905</v>
      </c>
      <c r="U39" s="380">
        <v>112.38422738151704</v>
      </c>
      <c r="V39" s="380">
        <v>87.418018291942701</v>
      </c>
      <c r="W39" s="63">
        <v>3.5939169075972544</v>
      </c>
      <c r="X39" s="63">
        <v>1.2363587437127197</v>
      </c>
      <c r="Y39" s="63">
        <v>11.112094883419264</v>
      </c>
      <c r="Z39" s="63">
        <v>23.25982532263216</v>
      </c>
      <c r="AA39" s="63">
        <v>28.78788273663428</v>
      </c>
      <c r="AB39" s="63">
        <v>72.911006085095067</v>
      </c>
      <c r="AC39" s="63">
        <v>9.6950227562613964</v>
      </c>
      <c r="AD39" s="63">
        <v>58.814016570659916</v>
      </c>
      <c r="AE39" s="63">
        <v>59.318714687044597</v>
      </c>
      <c r="AF39" s="63">
        <v>14.832082295591908</v>
      </c>
      <c r="AG39" s="63">
        <v>13.541678127047504</v>
      </c>
      <c r="AH39" s="63">
        <v>96.739942483557073</v>
      </c>
      <c r="AI39" s="63">
        <v>62.593082847546576</v>
      </c>
      <c r="AJ39" s="63">
        <v>188.31423724187408</v>
      </c>
      <c r="AK39" s="63">
        <v>5.807315046530924</v>
      </c>
      <c r="AL39" s="63">
        <v>19.786378658200853</v>
      </c>
      <c r="AM39" s="63">
        <v>50.055268779761782</v>
      </c>
      <c r="AN39" s="63">
        <v>47.167680567278722</v>
      </c>
      <c r="AO39" s="63">
        <v>7.0801393705718922</v>
      </c>
      <c r="AP39" s="23">
        <v>1.1393073941344254</v>
      </c>
      <c r="AQ39" s="23">
        <v>0</v>
      </c>
      <c r="AR39" s="23">
        <v>0</v>
      </c>
      <c r="AS39" s="23">
        <v>0</v>
      </c>
      <c r="AT39" s="23">
        <v>0.33155671761866445</v>
      </c>
      <c r="AU39" s="23">
        <v>0.96770266433202401</v>
      </c>
      <c r="AV39" s="23">
        <v>0.26702611547744287</v>
      </c>
      <c r="AW39" s="23">
        <v>0.78288415124698296</v>
      </c>
      <c r="AX39" s="23">
        <v>0.3903861625100562</v>
      </c>
      <c r="AY39" s="23">
        <v>0</v>
      </c>
      <c r="AZ39" s="23">
        <v>0.50551795939614774</v>
      </c>
      <c r="BA39" s="23">
        <v>0</v>
      </c>
      <c r="BB39" s="23">
        <v>0</v>
      </c>
      <c r="BC39" s="23">
        <v>0.21631134352373288</v>
      </c>
      <c r="BD39" s="23">
        <v>0</v>
      </c>
      <c r="BE39" s="23">
        <v>0</v>
      </c>
      <c r="BF39" s="23">
        <v>0</v>
      </c>
      <c r="BG39" s="23">
        <v>5.6312893379395197</v>
      </c>
      <c r="BH39" s="23">
        <v>0</v>
      </c>
      <c r="BI39" s="23">
        <v>0</v>
      </c>
      <c r="BJ39" s="23">
        <v>0</v>
      </c>
      <c r="BK39" s="23">
        <v>0</v>
      </c>
      <c r="BL39" s="23">
        <v>0</v>
      </c>
      <c r="BM39" s="23">
        <v>0</v>
      </c>
      <c r="BN39" s="23">
        <v>0</v>
      </c>
      <c r="BO39" s="23">
        <v>0</v>
      </c>
      <c r="BP39" s="23">
        <v>0</v>
      </c>
      <c r="BQ39" s="23">
        <v>0</v>
      </c>
      <c r="BR39" s="23">
        <v>0</v>
      </c>
    </row>
    <row r="40" spans="1:70" x14ac:dyDescent="0.3">
      <c r="A40" s="63">
        <v>2018</v>
      </c>
      <c r="B40" s="382">
        <v>43370</v>
      </c>
      <c r="C40" s="382" t="s">
        <v>1719</v>
      </c>
      <c r="D40" s="63" t="s">
        <v>3</v>
      </c>
      <c r="E40" s="63" t="s">
        <v>1724</v>
      </c>
      <c r="F40" s="63" t="s">
        <v>196</v>
      </c>
      <c r="G40" s="63">
        <v>2017</v>
      </c>
      <c r="H40" s="63" t="s">
        <v>216</v>
      </c>
      <c r="I40" s="63" t="s">
        <v>229</v>
      </c>
      <c r="J40" s="63" t="s">
        <v>210</v>
      </c>
      <c r="K40" s="66">
        <v>20.5</v>
      </c>
      <c r="M40" s="66">
        <v>17.8</v>
      </c>
      <c r="N40" s="28">
        <v>81.8</v>
      </c>
      <c r="P40" s="63">
        <v>22.457352623623407</v>
      </c>
      <c r="Q40" s="63">
        <v>7.6</v>
      </c>
      <c r="T40" s="380">
        <v>107.49863194921355</v>
      </c>
      <c r="U40" s="377">
        <v>2.3034424926035664</v>
      </c>
      <c r="V40" s="377">
        <v>12.890511991668266</v>
      </c>
      <c r="W40" s="63">
        <v>3.1046914405755923</v>
      </c>
      <c r="X40" s="63">
        <v>1.0309591916111125</v>
      </c>
      <c r="Y40" s="63">
        <v>9.2908436844672675</v>
      </c>
      <c r="Z40" s="63">
        <v>20.672210918776265</v>
      </c>
      <c r="AA40" s="63">
        <v>24.704904408593222</v>
      </c>
      <c r="AB40" s="63">
        <v>63.75730526005465</v>
      </c>
      <c r="AC40" s="63">
        <v>8.4044742622271258</v>
      </c>
      <c r="AD40" s="63">
        <v>48.049339632220807</v>
      </c>
      <c r="AE40" s="63">
        <v>56.017436130993715</v>
      </c>
      <c r="AF40" s="63">
        <v>12.197694366097949</v>
      </c>
      <c r="AG40" s="63">
        <v>9.4445870628913084</v>
      </c>
      <c r="AH40" s="63">
        <v>87.368139736914628</v>
      </c>
      <c r="AI40" s="63">
        <v>49.819808051026442</v>
      </c>
      <c r="AJ40" s="63">
        <v>161.68253304778597</v>
      </c>
      <c r="AK40" s="63">
        <v>4.9111744056362046</v>
      </c>
      <c r="AL40" s="63">
        <v>16.632325034472398</v>
      </c>
      <c r="AM40" s="63">
        <v>41.228229263066837</v>
      </c>
      <c r="AN40" s="63">
        <v>39.771097110814736</v>
      </c>
      <c r="AO40" s="63">
        <v>5.5855839775171461</v>
      </c>
      <c r="AP40" s="23">
        <v>0</v>
      </c>
      <c r="AQ40" s="23">
        <v>0</v>
      </c>
      <c r="AR40" s="23">
        <v>0</v>
      </c>
      <c r="AS40" s="23">
        <v>0</v>
      </c>
      <c r="AT40" s="23">
        <v>0.40726226063338239</v>
      </c>
      <c r="AU40" s="23">
        <v>0.98358052895466896</v>
      </c>
      <c r="AV40" s="23">
        <v>0.34255488611097196</v>
      </c>
      <c r="AW40" s="23">
        <v>0.8872385349115659</v>
      </c>
      <c r="AX40" s="23">
        <v>0.41714881512017549</v>
      </c>
      <c r="AY40" s="23">
        <v>1.0141691376774911</v>
      </c>
      <c r="AZ40" s="23">
        <v>0.71044794427498348</v>
      </c>
      <c r="BA40" s="23">
        <v>0</v>
      </c>
      <c r="BB40" s="23">
        <v>0</v>
      </c>
      <c r="BC40" s="23">
        <v>0.16041731957603078</v>
      </c>
      <c r="BD40" s="23">
        <v>0</v>
      </c>
      <c r="BE40" s="23">
        <v>0</v>
      </c>
      <c r="BF40" s="23">
        <v>0</v>
      </c>
      <c r="BG40" s="23">
        <v>5.0864528101928075</v>
      </c>
      <c r="BH40" s="23">
        <v>0</v>
      </c>
      <c r="BI40" s="23">
        <v>0</v>
      </c>
      <c r="BJ40" s="23">
        <v>0</v>
      </c>
      <c r="BK40" s="23">
        <v>0</v>
      </c>
      <c r="BL40" s="23">
        <v>0</v>
      </c>
      <c r="BM40" s="23">
        <v>0</v>
      </c>
      <c r="BN40" s="23">
        <v>0</v>
      </c>
      <c r="BO40" s="23">
        <v>0</v>
      </c>
      <c r="BP40" s="23">
        <v>0</v>
      </c>
      <c r="BQ40" s="23">
        <v>0</v>
      </c>
      <c r="BR40" s="23">
        <v>0</v>
      </c>
    </row>
    <row r="41" spans="1:70" x14ac:dyDescent="0.3">
      <c r="A41" s="63">
        <v>2018</v>
      </c>
      <c r="B41" s="382">
        <v>43370</v>
      </c>
      <c r="C41" s="382" t="s">
        <v>1719</v>
      </c>
      <c r="D41" s="63" t="s">
        <v>3</v>
      </c>
      <c r="E41" s="63" t="s">
        <v>1724</v>
      </c>
      <c r="F41" s="63" t="s">
        <v>196</v>
      </c>
      <c r="G41" s="63">
        <v>2017</v>
      </c>
      <c r="H41" s="63" t="s">
        <v>216</v>
      </c>
      <c r="I41" s="63" t="s">
        <v>230</v>
      </c>
      <c r="J41" s="63" t="s">
        <v>213</v>
      </c>
      <c r="K41" s="66">
        <v>20</v>
      </c>
      <c r="M41" s="66">
        <v>17.8</v>
      </c>
      <c r="N41" s="28">
        <v>86.474999999999994</v>
      </c>
      <c r="P41" s="63">
        <v>24.256824946665134</v>
      </c>
      <c r="Q41" s="63">
        <v>11.72</v>
      </c>
      <c r="T41" s="380">
        <v>283.31336215623469</v>
      </c>
      <c r="U41" s="377">
        <v>2.4866729480368495</v>
      </c>
      <c r="V41" s="380">
        <v>22.937787417801175</v>
      </c>
      <c r="W41" s="63">
        <v>3.268034492690524</v>
      </c>
      <c r="X41" s="63">
        <v>0.72873985030164401</v>
      </c>
      <c r="Y41" s="63">
        <v>8.8528730227982315</v>
      </c>
      <c r="Z41" s="63">
        <v>13.165457507337722</v>
      </c>
      <c r="AA41" s="63">
        <v>21.57743292901883</v>
      </c>
      <c r="AB41" s="63">
        <v>49.531888079516037</v>
      </c>
      <c r="AC41" s="63">
        <v>12.750318577875603</v>
      </c>
      <c r="AD41" s="63">
        <v>47.860360890984126</v>
      </c>
      <c r="AE41" s="63">
        <v>53.38424420478038</v>
      </c>
      <c r="AF41" s="63">
        <v>10.308195390231033</v>
      </c>
      <c r="AG41" s="63">
        <v>13.167958203389299</v>
      </c>
      <c r="AH41" s="63">
        <v>92.227035507191999</v>
      </c>
      <c r="AI41" s="63">
        <v>64.99019180162955</v>
      </c>
      <c r="AJ41" s="63">
        <v>157.42852421866186</v>
      </c>
      <c r="AK41" s="63">
        <v>3.7733001810376172</v>
      </c>
      <c r="AL41" s="63">
        <v>11.743000347725843</v>
      </c>
      <c r="AM41" s="63">
        <v>23.51070579289846</v>
      </c>
      <c r="AN41" s="63">
        <v>32.273200421169498</v>
      </c>
      <c r="AO41" s="63">
        <v>2.8110480989357973</v>
      </c>
      <c r="AP41" s="23">
        <v>2.8476004970279067</v>
      </c>
      <c r="AQ41" s="23">
        <v>0</v>
      </c>
      <c r="AR41" s="23">
        <v>0</v>
      </c>
      <c r="AS41" s="23">
        <v>0</v>
      </c>
      <c r="AT41" s="23">
        <v>0.3854568962622158</v>
      </c>
      <c r="AU41" s="23">
        <v>0</v>
      </c>
      <c r="AV41" s="23">
        <v>0.18013386687195329</v>
      </c>
      <c r="AW41" s="23">
        <v>0.38962118413540647</v>
      </c>
      <c r="AX41" s="23">
        <v>0.22669342109681967</v>
      </c>
      <c r="AY41" s="23">
        <v>0</v>
      </c>
      <c r="AZ41" s="23">
        <v>0.88662874425385552</v>
      </c>
      <c r="BA41" s="23">
        <v>0</v>
      </c>
      <c r="BB41" s="23">
        <v>0</v>
      </c>
      <c r="BC41" s="23">
        <v>0</v>
      </c>
      <c r="BD41" s="23">
        <v>0</v>
      </c>
      <c r="BE41" s="23">
        <v>0</v>
      </c>
      <c r="BF41" s="23">
        <v>0</v>
      </c>
      <c r="BG41" s="23">
        <v>2.0146753613625989</v>
      </c>
      <c r="BH41" s="23">
        <v>0</v>
      </c>
      <c r="BI41" s="23">
        <v>0</v>
      </c>
      <c r="BJ41" s="23">
        <v>0</v>
      </c>
      <c r="BK41" s="23">
        <v>0</v>
      </c>
      <c r="BL41" s="23">
        <v>0</v>
      </c>
      <c r="BM41" s="23">
        <v>0</v>
      </c>
      <c r="BN41" s="23">
        <v>0</v>
      </c>
      <c r="BO41" s="23">
        <v>0</v>
      </c>
      <c r="BP41" s="23">
        <v>0</v>
      </c>
      <c r="BQ41" s="23">
        <v>0</v>
      </c>
      <c r="BR41" s="23">
        <v>0</v>
      </c>
    </row>
    <row r="42" spans="1:70" x14ac:dyDescent="0.3">
      <c r="A42" s="63">
        <v>2018</v>
      </c>
      <c r="B42" s="382">
        <v>43370</v>
      </c>
      <c r="C42" s="382" t="s">
        <v>1719</v>
      </c>
      <c r="D42" s="63" t="s">
        <v>3</v>
      </c>
      <c r="E42" s="63" t="s">
        <v>1724</v>
      </c>
      <c r="F42" s="63" t="s">
        <v>196</v>
      </c>
      <c r="G42" s="63">
        <v>2017</v>
      </c>
      <c r="H42" s="63" t="s">
        <v>216</v>
      </c>
      <c r="I42" s="63" t="s">
        <v>231</v>
      </c>
      <c r="J42" s="63" t="s">
        <v>213</v>
      </c>
      <c r="K42" s="66">
        <v>23.5</v>
      </c>
      <c r="M42" s="66">
        <v>20.8</v>
      </c>
      <c r="N42" s="28">
        <v>127.355</v>
      </c>
      <c r="P42" s="63">
        <v>24.935274100115151</v>
      </c>
      <c r="Q42" s="63">
        <v>8.1999999999999993</v>
      </c>
      <c r="T42" s="380">
        <v>156.3407761120454</v>
      </c>
      <c r="U42" s="377">
        <v>2.3456413144613282</v>
      </c>
      <c r="V42" s="377">
        <v>13.126664802488785</v>
      </c>
      <c r="W42" s="63">
        <v>3.183932640434707</v>
      </c>
      <c r="X42" s="63">
        <v>1.1941218407202183</v>
      </c>
      <c r="Y42" s="63">
        <v>9.4586559914756165</v>
      </c>
      <c r="Z42" s="63">
        <v>16.346891350153523</v>
      </c>
      <c r="AA42" s="63">
        <v>23.839651435350643</v>
      </c>
      <c r="AB42" s="63">
        <v>62.368466965648111</v>
      </c>
      <c r="AC42" s="63">
        <v>8.5656954464279842</v>
      </c>
      <c r="AD42" s="63">
        <v>49.251838254530057</v>
      </c>
      <c r="AE42" s="63">
        <v>53.655490220999276</v>
      </c>
      <c r="AF42" s="63">
        <v>14.720286096422734</v>
      </c>
      <c r="AG42" s="63">
        <v>13.378193269543043</v>
      </c>
      <c r="AH42" s="63">
        <v>100.07006658367666</v>
      </c>
      <c r="AI42" s="63">
        <v>56.984865516463145</v>
      </c>
      <c r="AJ42" s="63">
        <v>194.36581893777878</v>
      </c>
      <c r="AK42" s="63">
        <v>4.2873974110837185</v>
      </c>
      <c r="AL42" s="63">
        <v>21.207022709197808</v>
      </c>
      <c r="AM42" s="63">
        <v>57.472672929766588</v>
      </c>
      <c r="AN42" s="63">
        <v>53.008033796623181</v>
      </c>
      <c r="AO42" s="63">
        <v>8.4456089323487156</v>
      </c>
      <c r="AP42" s="23">
        <v>1.7859428167063145</v>
      </c>
      <c r="AQ42" s="23">
        <v>0</v>
      </c>
      <c r="AR42" s="23">
        <v>0</v>
      </c>
      <c r="AS42" s="23">
        <v>0</v>
      </c>
      <c r="AT42" s="23">
        <v>0.56142327548422288</v>
      </c>
      <c r="AU42" s="23">
        <v>1.0657713221295826</v>
      </c>
      <c r="AV42" s="23">
        <v>0</v>
      </c>
      <c r="AW42" s="23">
        <v>0.605508546879862</v>
      </c>
      <c r="AX42" s="23">
        <v>0.31629854356750681</v>
      </c>
      <c r="AY42" s="23">
        <v>0</v>
      </c>
      <c r="AZ42" s="23">
        <v>0.73369057269891202</v>
      </c>
      <c r="BA42" s="23">
        <v>0</v>
      </c>
      <c r="BB42" s="23">
        <v>0</v>
      </c>
      <c r="BC42" s="23">
        <v>0.2055542172302689</v>
      </c>
      <c r="BD42" s="23">
        <v>0</v>
      </c>
      <c r="BE42" s="23">
        <v>0</v>
      </c>
      <c r="BF42" s="23">
        <v>0</v>
      </c>
      <c r="BG42" s="23">
        <v>5.3621864357976818</v>
      </c>
      <c r="BH42" s="23">
        <v>0</v>
      </c>
      <c r="BI42" s="23">
        <v>0</v>
      </c>
      <c r="BJ42" s="23">
        <v>0</v>
      </c>
      <c r="BK42" s="23">
        <v>0</v>
      </c>
      <c r="BL42" s="23">
        <v>0</v>
      </c>
      <c r="BM42" s="23">
        <v>3.0541001268063209E-2</v>
      </c>
      <c r="BN42" s="23">
        <v>0</v>
      </c>
      <c r="BO42" s="23">
        <v>0</v>
      </c>
      <c r="BP42" s="23">
        <v>0</v>
      </c>
      <c r="BQ42" s="23">
        <v>0</v>
      </c>
      <c r="BR42" s="23">
        <v>0</v>
      </c>
    </row>
  </sheetData>
  <conditionalFormatting sqref="A1:AO1 A2:BR42">
    <cfRule type="cellIs" dxfId="7" priority="7" operator="equal">
      <formula>0</formula>
    </cfRule>
  </conditionalFormatting>
  <conditionalFormatting sqref="A2:BR42">
    <cfRule type="containsBlanks" dxfId="6" priority="8">
      <formula>LEN(TRIM(A2))=0</formula>
    </cfRule>
  </conditionalFormatting>
  <pageMargins left="0.7" right="0.7" top="0.75" bottom="0.75" header="0.3" footer="0.3"/>
  <pageSetup paperSize="9" orientation="portrait" verticalDpi="4294967295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304"/>
  <sheetViews>
    <sheetView zoomScale="70" zoomScaleNormal="70" workbookViewId="0">
      <selection activeCell="C315" sqref="C315"/>
    </sheetView>
  </sheetViews>
  <sheetFormatPr baseColWidth="10" defaultRowHeight="14.4" x14ac:dyDescent="0.3"/>
  <cols>
    <col min="1" max="1" width="6.6640625" bestFit="1" customWidth="1"/>
    <col min="2" max="3" width="11.33203125" bestFit="1" customWidth="1"/>
    <col min="4" max="4" width="19.6640625" bestFit="1" customWidth="1"/>
    <col min="5" max="5" width="23.5546875" bestFit="1" customWidth="1"/>
    <col min="6" max="6" width="6.6640625" customWidth="1"/>
    <col min="7" max="7" width="10.6640625" customWidth="1"/>
    <col min="8" max="8" width="7.33203125" style="35" bestFit="1" customWidth="1"/>
    <col min="9" max="9" width="7.44140625" style="35" bestFit="1" customWidth="1"/>
    <col min="10" max="10" width="16.109375" style="399" customWidth="1"/>
    <col min="11" max="11" width="13.88671875" style="35" bestFit="1" customWidth="1"/>
    <col min="15" max="15" width="27.109375" bestFit="1" customWidth="1"/>
  </cols>
  <sheetData>
    <row r="1" spans="1:16" ht="47.4" thickBot="1" x14ac:dyDescent="0.35">
      <c r="A1" s="19" t="s">
        <v>188</v>
      </c>
      <c r="B1" s="407" t="s">
        <v>992</v>
      </c>
      <c r="C1" s="14" t="s">
        <v>0</v>
      </c>
      <c r="D1" s="14" t="s">
        <v>191</v>
      </c>
      <c r="E1" s="407" t="s">
        <v>996</v>
      </c>
      <c r="F1" s="59" t="s">
        <v>251</v>
      </c>
      <c r="G1" s="59" t="s">
        <v>276</v>
      </c>
      <c r="H1" s="59" t="s">
        <v>252</v>
      </c>
      <c r="I1" s="59" t="s">
        <v>253</v>
      </c>
      <c r="J1" s="95" t="s">
        <v>409</v>
      </c>
      <c r="K1" s="59" t="s">
        <v>254</v>
      </c>
      <c r="L1" s="59" t="s">
        <v>407</v>
      </c>
      <c r="M1" s="59" t="s">
        <v>408</v>
      </c>
      <c r="N1" s="97" t="s">
        <v>410</v>
      </c>
      <c r="O1" s="60" t="s">
        <v>255</v>
      </c>
      <c r="P1" s="82" t="s">
        <v>302</v>
      </c>
    </row>
    <row r="2" spans="1:16" ht="15" thickBot="1" x14ac:dyDescent="0.35">
      <c r="A2" s="18">
        <v>42887</v>
      </c>
      <c r="B2" s="402">
        <v>42903</v>
      </c>
      <c r="C2" s="17" t="s">
        <v>3</v>
      </c>
      <c r="D2" s="63" t="s">
        <v>92</v>
      </c>
      <c r="E2" s="408" t="s">
        <v>997</v>
      </c>
      <c r="F2" s="61" t="s">
        <v>256</v>
      </c>
      <c r="G2" s="61" t="s">
        <v>277</v>
      </c>
      <c r="H2" s="383">
        <v>4.8</v>
      </c>
      <c r="I2" s="383">
        <v>4.4000000000000004</v>
      </c>
      <c r="J2" s="384">
        <v>0.73139999999999994</v>
      </c>
      <c r="K2" s="383">
        <v>18.5</v>
      </c>
      <c r="L2" s="61">
        <v>74.7</v>
      </c>
      <c r="M2" s="61">
        <v>598.29999999999995</v>
      </c>
      <c r="N2" s="61">
        <f>100*J2/H2^3</f>
        <v>0.66134982638888895</v>
      </c>
      <c r="O2" s="61"/>
    </row>
    <row r="3" spans="1:16" ht="15" thickBot="1" x14ac:dyDescent="0.35">
      <c r="A3" s="18">
        <v>42887</v>
      </c>
      <c r="B3" s="402">
        <v>42903</v>
      </c>
      <c r="C3" s="17" t="s">
        <v>3</v>
      </c>
      <c r="D3" s="63" t="s">
        <v>92</v>
      </c>
      <c r="E3" s="408" t="s">
        <v>998</v>
      </c>
      <c r="F3" s="3" t="s">
        <v>256</v>
      </c>
      <c r="G3" s="3" t="s">
        <v>277</v>
      </c>
      <c r="H3" s="385">
        <v>3.5</v>
      </c>
      <c r="I3" s="385">
        <v>3</v>
      </c>
      <c r="J3" s="386">
        <v>0.2949</v>
      </c>
      <c r="K3" s="385">
        <v>13.8</v>
      </c>
      <c r="L3" s="3">
        <v>19.5</v>
      </c>
      <c r="M3" s="3">
        <v>245</v>
      </c>
      <c r="N3" s="61">
        <f t="shared" ref="N3:N66" si="0">100*J3/H3^3</f>
        <v>0.68781341107871719</v>
      </c>
      <c r="O3" s="3"/>
    </row>
    <row r="4" spans="1:16" ht="15" thickBot="1" x14ac:dyDescent="0.35">
      <c r="A4" s="18">
        <v>42887</v>
      </c>
      <c r="B4" s="402">
        <v>42903</v>
      </c>
      <c r="C4" s="17" t="s">
        <v>3</v>
      </c>
      <c r="D4" s="63" t="s">
        <v>92</v>
      </c>
      <c r="E4" s="408" t="s">
        <v>999</v>
      </c>
      <c r="F4" s="3" t="s">
        <v>256</v>
      </c>
      <c r="G4" s="3" t="s">
        <v>277</v>
      </c>
      <c r="H4" s="385">
        <v>3.7</v>
      </c>
      <c r="I4" s="385">
        <v>3.2</v>
      </c>
      <c r="J4" s="386">
        <v>0.31760000000000005</v>
      </c>
      <c r="K4" s="385"/>
      <c r="L4" s="3">
        <v>27.3</v>
      </c>
      <c r="M4" s="3">
        <v>266.60000000000002</v>
      </c>
      <c r="N4" s="61">
        <f t="shared" si="0"/>
        <v>0.62701123329319097</v>
      </c>
      <c r="O4" s="3"/>
    </row>
    <row r="5" spans="1:16" ht="15" thickBot="1" x14ac:dyDescent="0.35">
      <c r="A5" s="18">
        <v>42887</v>
      </c>
      <c r="B5" s="402">
        <v>42903</v>
      </c>
      <c r="C5" s="17" t="s">
        <v>3</v>
      </c>
      <c r="D5" s="63" t="s">
        <v>92</v>
      </c>
      <c r="E5" s="408" t="s">
        <v>1000</v>
      </c>
      <c r="F5" s="3" t="s">
        <v>256</v>
      </c>
      <c r="G5" s="3" t="s">
        <v>277</v>
      </c>
      <c r="H5" s="385">
        <v>4</v>
      </c>
      <c r="I5" s="385">
        <v>3.7</v>
      </c>
      <c r="J5" s="387">
        <v>0.3755</v>
      </c>
      <c r="K5" s="385">
        <v>7.2</v>
      </c>
      <c r="L5" s="3">
        <v>26.2</v>
      </c>
      <c r="M5" s="3">
        <v>342.1</v>
      </c>
      <c r="N5" s="61">
        <f t="shared" si="0"/>
        <v>0.58671874999999996</v>
      </c>
      <c r="O5" s="3" t="s">
        <v>257</v>
      </c>
    </row>
    <row r="6" spans="1:16" ht="15" thickBot="1" x14ac:dyDescent="0.35">
      <c r="A6" s="18">
        <v>42887</v>
      </c>
      <c r="B6" s="402">
        <v>42903</v>
      </c>
      <c r="C6" s="17" t="s">
        <v>3</v>
      </c>
      <c r="D6" s="63" t="s">
        <v>92</v>
      </c>
      <c r="E6" s="408" t="s">
        <v>1001</v>
      </c>
      <c r="F6" s="3" t="s">
        <v>256</v>
      </c>
      <c r="G6" s="3" t="s">
        <v>277</v>
      </c>
      <c r="H6" s="385">
        <v>3.8</v>
      </c>
      <c r="I6" s="385">
        <v>3.2</v>
      </c>
      <c r="J6" s="386">
        <v>0.37389999999999995</v>
      </c>
      <c r="K6" s="385"/>
      <c r="L6" s="3">
        <v>25.8</v>
      </c>
      <c r="M6" s="3">
        <v>318</v>
      </c>
      <c r="N6" s="61">
        <f t="shared" si="0"/>
        <v>0.68140399475142144</v>
      </c>
      <c r="O6" s="3"/>
    </row>
    <row r="7" spans="1:16" ht="15" thickBot="1" x14ac:dyDescent="0.35">
      <c r="A7" s="18">
        <v>42887</v>
      </c>
      <c r="B7" s="402">
        <v>42903</v>
      </c>
      <c r="C7" s="17" t="s">
        <v>3</v>
      </c>
      <c r="D7" s="63" t="s">
        <v>92</v>
      </c>
      <c r="E7" s="408" t="s">
        <v>1002</v>
      </c>
      <c r="F7" s="3" t="s">
        <v>256</v>
      </c>
      <c r="G7" s="3" t="s">
        <v>277</v>
      </c>
      <c r="H7" s="385">
        <v>3.4</v>
      </c>
      <c r="I7" s="385">
        <v>2.9</v>
      </c>
      <c r="J7" s="386">
        <v>0.28560000000000002</v>
      </c>
      <c r="K7" s="385">
        <v>8.1</v>
      </c>
      <c r="L7" s="3">
        <v>13.2</v>
      </c>
      <c r="M7" s="3">
        <v>243.4</v>
      </c>
      <c r="N7" s="61">
        <f t="shared" si="0"/>
        <v>0.7266435986159171</v>
      </c>
      <c r="O7" s="3"/>
    </row>
    <row r="8" spans="1:16" ht="15" thickBot="1" x14ac:dyDescent="0.35">
      <c r="A8" s="18">
        <v>42887</v>
      </c>
      <c r="B8" s="402">
        <v>42903</v>
      </c>
      <c r="C8" s="17" t="s">
        <v>3</v>
      </c>
      <c r="D8" s="63" t="s">
        <v>92</v>
      </c>
      <c r="E8" s="408" t="s">
        <v>1003</v>
      </c>
      <c r="F8" s="3" t="s">
        <v>256</v>
      </c>
      <c r="G8" s="3" t="s">
        <v>277</v>
      </c>
      <c r="H8" s="385">
        <v>4.0999999999999996</v>
      </c>
      <c r="I8" s="385">
        <v>3.7</v>
      </c>
      <c r="J8" s="386">
        <v>0.49199999999999999</v>
      </c>
      <c r="K8" s="385">
        <v>8.3000000000000007</v>
      </c>
      <c r="L8" s="3">
        <v>32.5</v>
      </c>
      <c r="M8" s="3">
        <v>408.4</v>
      </c>
      <c r="N8" s="61">
        <f t="shared" si="0"/>
        <v>0.71386079714455697</v>
      </c>
      <c r="O8" s="3"/>
    </row>
    <row r="9" spans="1:16" ht="15" thickBot="1" x14ac:dyDescent="0.35">
      <c r="A9" s="18">
        <v>42887</v>
      </c>
      <c r="B9" s="402">
        <v>42903</v>
      </c>
      <c r="C9" s="17" t="s">
        <v>3</v>
      </c>
      <c r="D9" s="63" t="s">
        <v>92</v>
      </c>
      <c r="E9" s="408" t="s">
        <v>1004</v>
      </c>
      <c r="F9" s="3" t="s">
        <v>258</v>
      </c>
      <c r="G9" s="3" t="s">
        <v>277</v>
      </c>
      <c r="H9" s="385">
        <v>3.3</v>
      </c>
      <c r="I9" s="385">
        <v>2.9</v>
      </c>
      <c r="J9" s="386">
        <v>0.2432</v>
      </c>
      <c r="K9" s="385"/>
      <c r="L9" s="3">
        <v>35.799999999999997</v>
      </c>
      <c r="M9" s="3">
        <v>179.7</v>
      </c>
      <c r="N9" s="61">
        <f t="shared" si="0"/>
        <v>0.67673985029356931</v>
      </c>
      <c r="O9" s="3"/>
    </row>
    <row r="10" spans="1:16" ht="15" thickBot="1" x14ac:dyDescent="0.35">
      <c r="A10" s="18">
        <v>42887</v>
      </c>
      <c r="B10" s="402">
        <v>42903</v>
      </c>
      <c r="C10" s="17" t="s">
        <v>3</v>
      </c>
      <c r="D10" s="63" t="s">
        <v>92</v>
      </c>
      <c r="E10" s="408" t="s">
        <v>1005</v>
      </c>
      <c r="F10" s="3" t="s">
        <v>258</v>
      </c>
      <c r="G10" s="3" t="s">
        <v>277</v>
      </c>
      <c r="H10" s="385">
        <v>3.3</v>
      </c>
      <c r="I10" s="385">
        <v>2.9</v>
      </c>
      <c r="J10" s="386">
        <v>0.29239999999999999</v>
      </c>
      <c r="K10" s="385">
        <v>4.3</v>
      </c>
      <c r="L10" s="3">
        <v>23.1</v>
      </c>
      <c r="M10" s="3">
        <v>244.9</v>
      </c>
      <c r="N10" s="61">
        <f t="shared" si="0"/>
        <v>0.81364610290230122</v>
      </c>
      <c r="O10" s="3"/>
    </row>
    <row r="11" spans="1:16" ht="15" thickBot="1" x14ac:dyDescent="0.35">
      <c r="A11" s="18">
        <v>42887</v>
      </c>
      <c r="B11" s="402">
        <v>42903</v>
      </c>
      <c r="C11" s="17" t="s">
        <v>3</v>
      </c>
      <c r="D11" s="63" t="s">
        <v>92</v>
      </c>
      <c r="E11" s="408" t="s">
        <v>1006</v>
      </c>
      <c r="F11" s="3" t="s">
        <v>258</v>
      </c>
      <c r="G11" s="3" t="s">
        <v>277</v>
      </c>
      <c r="H11" s="385">
        <v>4.2</v>
      </c>
      <c r="I11" s="385">
        <v>3.7</v>
      </c>
      <c r="J11" s="386">
        <v>0.43239999999999995</v>
      </c>
      <c r="K11" s="385"/>
      <c r="L11" s="3">
        <v>33.9</v>
      </c>
      <c r="M11" s="3">
        <v>363.7</v>
      </c>
      <c r="N11" s="61">
        <f t="shared" si="0"/>
        <v>0.58363027750782837</v>
      </c>
      <c r="O11" s="3"/>
    </row>
    <row r="12" spans="1:16" ht="15" thickBot="1" x14ac:dyDescent="0.35">
      <c r="A12" s="18">
        <v>42887</v>
      </c>
      <c r="B12" s="402">
        <v>42903</v>
      </c>
      <c r="C12" s="17" t="s">
        <v>3</v>
      </c>
      <c r="D12" s="63" t="s">
        <v>92</v>
      </c>
      <c r="E12" s="408" t="s">
        <v>1007</v>
      </c>
      <c r="F12" s="3" t="s">
        <v>258</v>
      </c>
      <c r="G12" s="3" t="s">
        <v>277</v>
      </c>
      <c r="H12" s="385">
        <v>6</v>
      </c>
      <c r="I12" s="385">
        <v>5.5</v>
      </c>
      <c r="J12" s="386">
        <v>1.4947999999999999</v>
      </c>
      <c r="K12" s="385">
        <v>11.6</v>
      </c>
      <c r="L12" s="3">
        <v>97.2</v>
      </c>
      <c r="M12" s="3">
        <v>1318.7</v>
      </c>
      <c r="N12" s="61">
        <f t="shared" si="0"/>
        <v>0.69203703703703701</v>
      </c>
      <c r="O12" s="3"/>
    </row>
    <row r="13" spans="1:16" ht="15" thickBot="1" x14ac:dyDescent="0.35">
      <c r="A13" s="18">
        <v>42887</v>
      </c>
      <c r="B13" s="402">
        <v>42904</v>
      </c>
      <c r="C13" s="17" t="s">
        <v>3</v>
      </c>
      <c r="D13" s="63" t="s">
        <v>92</v>
      </c>
      <c r="E13" s="408" t="s">
        <v>1008</v>
      </c>
      <c r="F13" s="3" t="s">
        <v>259</v>
      </c>
      <c r="G13" s="3" t="s">
        <v>277</v>
      </c>
      <c r="H13" s="385">
        <v>3.1</v>
      </c>
      <c r="I13" s="385">
        <v>2.8</v>
      </c>
      <c r="J13" s="386">
        <v>0.1827</v>
      </c>
      <c r="K13" s="385"/>
      <c r="L13" s="3">
        <v>19.600000000000001</v>
      </c>
      <c r="M13" s="3">
        <v>142.1</v>
      </c>
      <c r="N13" s="61">
        <f t="shared" si="0"/>
        <v>0.61327246483837394</v>
      </c>
      <c r="O13" s="3"/>
    </row>
    <row r="14" spans="1:16" ht="15" thickBot="1" x14ac:dyDescent="0.35">
      <c r="A14" s="18">
        <v>42887</v>
      </c>
      <c r="B14" s="402">
        <v>42904</v>
      </c>
      <c r="C14" s="17" t="s">
        <v>3</v>
      </c>
      <c r="D14" s="63" t="s">
        <v>92</v>
      </c>
      <c r="E14" s="408" t="s">
        <v>1009</v>
      </c>
      <c r="F14" s="3" t="s">
        <v>259</v>
      </c>
      <c r="G14" s="3" t="s">
        <v>277</v>
      </c>
      <c r="H14" s="385">
        <v>3.2</v>
      </c>
      <c r="I14" s="385">
        <v>2.9</v>
      </c>
      <c r="J14" s="386">
        <v>0.21740000000000001</v>
      </c>
      <c r="K14" s="385"/>
      <c r="L14" s="3">
        <v>24.6</v>
      </c>
      <c r="M14" s="3">
        <v>176.2</v>
      </c>
      <c r="N14" s="61">
        <f t="shared" si="0"/>
        <v>0.66345214843749989</v>
      </c>
      <c r="O14" s="3"/>
    </row>
    <row r="15" spans="1:16" ht="15" thickBot="1" x14ac:dyDescent="0.35">
      <c r="A15" s="18">
        <v>42887</v>
      </c>
      <c r="B15" s="402">
        <v>42904</v>
      </c>
      <c r="C15" s="17" t="s">
        <v>3</v>
      </c>
      <c r="D15" s="63" t="s">
        <v>92</v>
      </c>
      <c r="E15" s="408" t="s">
        <v>1010</v>
      </c>
      <c r="F15" s="3" t="s">
        <v>259</v>
      </c>
      <c r="G15" s="3" t="s">
        <v>277</v>
      </c>
      <c r="H15" s="385">
        <v>4.4000000000000004</v>
      </c>
      <c r="I15" s="385">
        <v>4</v>
      </c>
      <c r="J15" s="386">
        <v>0.62629999999999997</v>
      </c>
      <c r="K15" s="385"/>
      <c r="L15" s="3">
        <v>19.899999999999999</v>
      </c>
      <c r="M15" s="3">
        <v>547.70000000000005</v>
      </c>
      <c r="N15" s="61">
        <f t="shared" si="0"/>
        <v>0.73523196844477812</v>
      </c>
      <c r="O15" s="3"/>
    </row>
    <row r="16" spans="1:16" ht="15" thickBot="1" x14ac:dyDescent="0.35">
      <c r="A16" s="18">
        <v>42887</v>
      </c>
      <c r="B16" s="402">
        <v>42896</v>
      </c>
      <c r="C16" s="17" t="s">
        <v>3</v>
      </c>
      <c r="D16" s="63" t="s">
        <v>92</v>
      </c>
      <c r="E16" s="408" t="s">
        <v>1011</v>
      </c>
      <c r="F16" s="3" t="s">
        <v>260</v>
      </c>
      <c r="G16" s="3" t="s">
        <v>277</v>
      </c>
      <c r="H16" s="385">
        <v>2.6</v>
      </c>
      <c r="I16" s="385">
        <v>2.4</v>
      </c>
      <c r="J16" s="386">
        <v>0.159</v>
      </c>
      <c r="K16" s="385"/>
      <c r="L16" s="3">
        <v>20.6</v>
      </c>
      <c r="M16" s="3">
        <v>124</v>
      </c>
      <c r="N16" s="61">
        <f t="shared" si="0"/>
        <v>0.90464269458352276</v>
      </c>
      <c r="O16" s="3"/>
    </row>
    <row r="17" spans="1:15" ht="15" thickBot="1" x14ac:dyDescent="0.35">
      <c r="A17" s="18">
        <v>42887</v>
      </c>
      <c r="B17" s="402">
        <v>42896</v>
      </c>
      <c r="C17" s="17" t="s">
        <v>3</v>
      </c>
      <c r="D17" s="63" t="s">
        <v>92</v>
      </c>
      <c r="E17" s="408" t="s">
        <v>1012</v>
      </c>
      <c r="F17" s="3" t="s">
        <v>261</v>
      </c>
      <c r="G17" s="3" t="s">
        <v>277</v>
      </c>
      <c r="H17" s="385">
        <v>3</v>
      </c>
      <c r="I17" s="385">
        <v>2.7</v>
      </c>
      <c r="J17" s="386">
        <v>0.2374</v>
      </c>
      <c r="K17" s="385"/>
      <c r="L17" s="3">
        <v>26</v>
      </c>
      <c r="M17" s="3">
        <v>200.3</v>
      </c>
      <c r="N17" s="61">
        <f t="shared" si="0"/>
        <v>0.87925925925925918</v>
      </c>
      <c r="O17" s="3"/>
    </row>
    <row r="18" spans="1:15" ht="15" thickBot="1" x14ac:dyDescent="0.35">
      <c r="A18" s="18">
        <v>42887</v>
      </c>
      <c r="B18" s="402">
        <v>42896</v>
      </c>
      <c r="C18" s="17" t="s">
        <v>3</v>
      </c>
      <c r="D18" s="63" t="s">
        <v>92</v>
      </c>
      <c r="E18" s="408" t="s">
        <v>1013</v>
      </c>
      <c r="F18" s="3" t="s">
        <v>261</v>
      </c>
      <c r="G18" s="3" t="s">
        <v>277</v>
      </c>
      <c r="H18" s="385">
        <v>2.4</v>
      </c>
      <c r="I18" s="385">
        <v>2.1</v>
      </c>
      <c r="J18" s="386">
        <v>8.8099999999999998E-2</v>
      </c>
      <c r="K18" s="385"/>
      <c r="L18" s="3">
        <v>4.7</v>
      </c>
      <c r="M18" s="3">
        <v>65.5</v>
      </c>
      <c r="N18" s="61">
        <f t="shared" si="0"/>
        <v>0.63729745370370372</v>
      </c>
      <c r="O18" s="3"/>
    </row>
    <row r="19" spans="1:15" ht="15" thickBot="1" x14ac:dyDescent="0.35">
      <c r="A19" s="18">
        <v>42887</v>
      </c>
      <c r="B19" s="402">
        <v>42896</v>
      </c>
      <c r="C19" s="17" t="s">
        <v>3</v>
      </c>
      <c r="D19" s="63" t="s">
        <v>92</v>
      </c>
      <c r="E19" s="408" t="s">
        <v>1014</v>
      </c>
      <c r="F19" s="3" t="s">
        <v>261</v>
      </c>
      <c r="G19" s="3" t="s">
        <v>277</v>
      </c>
      <c r="H19" s="385">
        <v>2.5</v>
      </c>
      <c r="I19" s="385">
        <v>2.4</v>
      </c>
      <c r="J19" s="386">
        <v>0.13950000000000001</v>
      </c>
      <c r="K19" s="385"/>
      <c r="L19" s="3">
        <v>13.4</v>
      </c>
      <c r="M19" s="3">
        <v>113.8</v>
      </c>
      <c r="N19" s="61">
        <f t="shared" si="0"/>
        <v>0.89280000000000004</v>
      </c>
      <c r="O19" s="3"/>
    </row>
    <row r="20" spans="1:15" ht="15" thickBot="1" x14ac:dyDescent="0.35">
      <c r="A20" s="18">
        <v>42887</v>
      </c>
      <c r="B20" s="402">
        <v>42896</v>
      </c>
      <c r="C20" s="17" t="s">
        <v>3</v>
      </c>
      <c r="D20" s="63" t="s">
        <v>92</v>
      </c>
      <c r="E20" s="408" t="s">
        <v>1015</v>
      </c>
      <c r="F20" s="3" t="s">
        <v>261</v>
      </c>
      <c r="G20" s="3" t="s">
        <v>277</v>
      </c>
      <c r="H20" s="385">
        <v>2.4</v>
      </c>
      <c r="I20" s="385">
        <v>2.2000000000000002</v>
      </c>
      <c r="J20" s="386">
        <v>0.1123</v>
      </c>
      <c r="K20" s="385"/>
      <c r="L20" s="3">
        <v>2.8</v>
      </c>
      <c r="M20" s="3">
        <v>89.2</v>
      </c>
      <c r="N20" s="61">
        <f t="shared" si="0"/>
        <v>0.81235532407407407</v>
      </c>
      <c r="O20" s="3"/>
    </row>
    <row r="21" spans="1:15" ht="15" thickBot="1" x14ac:dyDescent="0.35">
      <c r="A21" s="18">
        <v>42887</v>
      </c>
      <c r="B21" s="402">
        <v>42896</v>
      </c>
      <c r="C21" s="17" t="s">
        <v>3</v>
      </c>
      <c r="D21" s="63" t="s">
        <v>92</v>
      </c>
      <c r="E21" s="408" t="s">
        <v>1016</v>
      </c>
      <c r="F21" s="3" t="s">
        <v>261</v>
      </c>
      <c r="G21" s="3" t="s">
        <v>277</v>
      </c>
      <c r="H21" s="385">
        <v>2.9</v>
      </c>
      <c r="I21" s="385">
        <v>2.6</v>
      </c>
      <c r="J21" s="386">
        <v>0.16600000000000001</v>
      </c>
      <c r="K21" s="385"/>
      <c r="L21" s="3">
        <v>13.3</v>
      </c>
      <c r="M21" s="3">
        <v>131.1</v>
      </c>
      <c r="N21" s="61">
        <f t="shared" si="0"/>
        <v>0.68063471237033102</v>
      </c>
      <c r="O21" s="3"/>
    </row>
    <row r="22" spans="1:15" ht="15" thickBot="1" x14ac:dyDescent="0.35">
      <c r="A22" s="18">
        <v>42887</v>
      </c>
      <c r="B22" s="402">
        <v>42896</v>
      </c>
      <c r="C22" s="17" t="s">
        <v>3</v>
      </c>
      <c r="D22" s="63" t="s">
        <v>92</v>
      </c>
      <c r="E22" s="408" t="s">
        <v>1017</v>
      </c>
      <c r="F22" s="3" t="s">
        <v>261</v>
      </c>
      <c r="G22" s="3" t="s">
        <v>277</v>
      </c>
      <c r="H22" s="385">
        <v>2.8</v>
      </c>
      <c r="I22" s="385">
        <v>2.5</v>
      </c>
      <c r="J22" s="386">
        <v>0.19090000000000001</v>
      </c>
      <c r="K22" s="385"/>
      <c r="L22" s="3">
        <v>21</v>
      </c>
      <c r="M22" s="3">
        <v>148.19999999999999</v>
      </c>
      <c r="N22" s="61">
        <f t="shared" si="0"/>
        <v>0.86962463556851333</v>
      </c>
      <c r="O22" s="3"/>
    </row>
    <row r="23" spans="1:15" ht="15" thickBot="1" x14ac:dyDescent="0.35">
      <c r="A23" s="18">
        <v>42887</v>
      </c>
      <c r="B23" s="402">
        <v>42896</v>
      </c>
      <c r="C23" s="17" t="s">
        <v>3</v>
      </c>
      <c r="D23" s="63" t="s">
        <v>92</v>
      </c>
      <c r="E23" s="408" t="s">
        <v>1018</v>
      </c>
      <c r="F23" s="3" t="s">
        <v>261</v>
      </c>
      <c r="G23" s="3" t="s">
        <v>277</v>
      </c>
      <c r="H23" s="385">
        <v>2.6</v>
      </c>
      <c r="I23" s="385">
        <v>2.4</v>
      </c>
      <c r="J23" s="386">
        <v>0.12029999999999999</v>
      </c>
      <c r="K23" s="385"/>
      <c r="L23" s="62" t="s">
        <v>143</v>
      </c>
      <c r="M23" s="3">
        <v>87.4</v>
      </c>
      <c r="N23" s="61">
        <f t="shared" si="0"/>
        <v>0.68445607646791062</v>
      </c>
      <c r="O23" s="3" t="s">
        <v>262</v>
      </c>
    </row>
    <row r="24" spans="1:15" ht="15" thickBot="1" x14ac:dyDescent="0.35">
      <c r="A24" s="18">
        <v>42887</v>
      </c>
      <c r="B24" s="402">
        <v>42896</v>
      </c>
      <c r="C24" s="17" t="s">
        <v>3</v>
      </c>
      <c r="D24" s="63" t="s">
        <v>92</v>
      </c>
      <c r="E24" s="408" t="s">
        <v>1019</v>
      </c>
      <c r="F24" s="3" t="s">
        <v>261</v>
      </c>
      <c r="G24" s="3" t="s">
        <v>277</v>
      </c>
      <c r="H24" s="385">
        <v>3</v>
      </c>
      <c r="I24" s="385">
        <v>2.8</v>
      </c>
      <c r="J24" s="386">
        <v>0.2001</v>
      </c>
      <c r="K24" s="385"/>
      <c r="L24" s="3">
        <v>24.5</v>
      </c>
      <c r="M24" s="3">
        <v>156.19999999999999</v>
      </c>
      <c r="N24" s="61">
        <f t="shared" si="0"/>
        <v>0.74111111111111116</v>
      </c>
      <c r="O24" s="3"/>
    </row>
    <row r="25" spans="1:15" ht="15" thickBot="1" x14ac:dyDescent="0.35">
      <c r="A25" s="18">
        <v>42887</v>
      </c>
      <c r="B25" s="402">
        <v>42896</v>
      </c>
      <c r="C25" s="17" t="s">
        <v>3</v>
      </c>
      <c r="D25" s="63" t="s">
        <v>92</v>
      </c>
      <c r="E25" s="408" t="s">
        <v>1020</v>
      </c>
      <c r="F25" s="3" t="s">
        <v>261</v>
      </c>
      <c r="G25" s="3" t="s">
        <v>277</v>
      </c>
      <c r="H25" s="385">
        <v>3.1</v>
      </c>
      <c r="I25" s="385">
        <v>2.8</v>
      </c>
      <c r="J25" s="386">
        <v>0.27150000000000002</v>
      </c>
      <c r="K25" s="385"/>
      <c r="L25" s="3">
        <v>15.4</v>
      </c>
      <c r="M25" s="3">
        <v>225.9</v>
      </c>
      <c r="N25" s="61">
        <f t="shared" si="0"/>
        <v>0.91134906515390546</v>
      </c>
      <c r="O25" s="3"/>
    </row>
    <row r="26" spans="1:15" ht="15" thickBot="1" x14ac:dyDescent="0.35">
      <c r="A26" s="18">
        <v>42887</v>
      </c>
      <c r="B26" s="402">
        <v>42896</v>
      </c>
      <c r="C26" s="17" t="s">
        <v>3</v>
      </c>
      <c r="D26" s="63" t="s">
        <v>92</v>
      </c>
      <c r="E26" s="408" t="s">
        <v>1021</v>
      </c>
      <c r="F26" s="3" t="s">
        <v>261</v>
      </c>
      <c r="G26" s="3" t="s">
        <v>277</v>
      </c>
      <c r="H26" s="385">
        <v>3.7</v>
      </c>
      <c r="I26" s="385">
        <v>3.4</v>
      </c>
      <c r="J26" s="386">
        <v>0.3916</v>
      </c>
      <c r="K26" s="385"/>
      <c r="L26" s="3">
        <v>33.6</v>
      </c>
      <c r="M26" s="3">
        <v>31.2</v>
      </c>
      <c r="N26" s="61">
        <f t="shared" si="0"/>
        <v>0.77310327127712075</v>
      </c>
      <c r="O26" s="3"/>
    </row>
    <row r="27" spans="1:15" ht="15" thickBot="1" x14ac:dyDescent="0.35">
      <c r="A27" s="18">
        <v>42887</v>
      </c>
      <c r="B27" s="402">
        <v>42896</v>
      </c>
      <c r="C27" s="17" t="s">
        <v>3</v>
      </c>
      <c r="D27" s="63" t="s">
        <v>92</v>
      </c>
      <c r="E27" s="408" t="s">
        <v>1022</v>
      </c>
      <c r="F27" s="3" t="s">
        <v>261</v>
      </c>
      <c r="G27" s="3" t="s">
        <v>277</v>
      </c>
      <c r="H27" s="385">
        <v>3</v>
      </c>
      <c r="I27" s="385">
        <v>2.8</v>
      </c>
      <c r="J27" s="386">
        <v>0.2039</v>
      </c>
      <c r="K27" s="385"/>
      <c r="L27" s="3">
        <v>34.4</v>
      </c>
      <c r="M27" s="3">
        <v>144.9</v>
      </c>
      <c r="N27" s="61">
        <f t="shared" si="0"/>
        <v>0.75518518518518518</v>
      </c>
      <c r="O27" s="3"/>
    </row>
    <row r="28" spans="1:15" ht="15" thickBot="1" x14ac:dyDescent="0.35">
      <c r="A28" s="18">
        <v>42887</v>
      </c>
      <c r="B28" s="402">
        <v>42896</v>
      </c>
      <c r="C28" s="17" t="s">
        <v>3</v>
      </c>
      <c r="D28" s="63" t="s">
        <v>92</v>
      </c>
      <c r="E28" s="408" t="s">
        <v>1023</v>
      </c>
      <c r="F28" s="3" t="s">
        <v>261</v>
      </c>
      <c r="G28" s="3" t="s">
        <v>277</v>
      </c>
      <c r="H28" s="385">
        <v>3.4</v>
      </c>
      <c r="I28" s="385">
        <v>3</v>
      </c>
      <c r="J28" s="386">
        <v>0.2863</v>
      </c>
      <c r="K28" s="385"/>
      <c r="L28" s="3">
        <v>29.4</v>
      </c>
      <c r="M28" s="3">
        <v>228.8</v>
      </c>
      <c r="N28" s="61">
        <f t="shared" si="0"/>
        <v>0.72842458782821096</v>
      </c>
      <c r="O28" s="3"/>
    </row>
    <row r="29" spans="1:15" ht="15" thickBot="1" x14ac:dyDescent="0.35">
      <c r="A29" s="18">
        <v>42887</v>
      </c>
      <c r="B29" s="402">
        <v>42896</v>
      </c>
      <c r="C29" s="17" t="s">
        <v>3</v>
      </c>
      <c r="D29" s="63" t="s">
        <v>92</v>
      </c>
      <c r="E29" s="408" t="s">
        <v>1024</v>
      </c>
      <c r="F29" s="3" t="s">
        <v>261</v>
      </c>
      <c r="G29" s="3" t="s">
        <v>277</v>
      </c>
      <c r="H29" s="385">
        <v>3.9</v>
      </c>
      <c r="I29" s="385">
        <v>3.6</v>
      </c>
      <c r="J29" s="386">
        <v>0.44400000000000001</v>
      </c>
      <c r="K29" s="385"/>
      <c r="L29" s="3">
        <v>53.2</v>
      </c>
      <c r="M29" s="3">
        <v>377.2</v>
      </c>
      <c r="N29" s="61">
        <f t="shared" si="0"/>
        <v>0.74849542305163608</v>
      </c>
      <c r="O29" s="3"/>
    </row>
    <row r="30" spans="1:15" ht="15" thickBot="1" x14ac:dyDescent="0.35">
      <c r="A30" s="18">
        <v>42887</v>
      </c>
      <c r="B30" s="402">
        <v>42896</v>
      </c>
      <c r="C30" s="17" t="s">
        <v>3</v>
      </c>
      <c r="D30" s="63" t="s">
        <v>92</v>
      </c>
      <c r="E30" s="408" t="s">
        <v>1025</v>
      </c>
      <c r="F30" s="3" t="s">
        <v>261</v>
      </c>
      <c r="G30" s="3" t="s">
        <v>277</v>
      </c>
      <c r="H30" s="385">
        <v>4.7</v>
      </c>
      <c r="I30" s="385">
        <v>4.0999999999999996</v>
      </c>
      <c r="J30" s="386">
        <v>0.60099999999999998</v>
      </c>
      <c r="K30" s="385"/>
      <c r="L30" s="3">
        <v>39.200000000000003</v>
      </c>
      <c r="M30" s="3">
        <v>500.4</v>
      </c>
      <c r="N30" s="61">
        <f t="shared" si="0"/>
        <v>0.57886980726813886</v>
      </c>
      <c r="O30" s="3"/>
    </row>
    <row r="31" spans="1:15" ht="15" thickBot="1" x14ac:dyDescent="0.35">
      <c r="A31" s="18">
        <v>42887</v>
      </c>
      <c r="B31" s="402">
        <v>42896</v>
      </c>
      <c r="C31" s="17" t="s">
        <v>3</v>
      </c>
      <c r="D31" s="63" t="s">
        <v>92</v>
      </c>
      <c r="E31" s="408" t="s">
        <v>1026</v>
      </c>
      <c r="F31" s="3" t="s">
        <v>261</v>
      </c>
      <c r="G31" s="3" t="s">
        <v>277</v>
      </c>
      <c r="H31" s="385">
        <v>1.6</v>
      </c>
      <c r="I31" s="385">
        <v>1.5</v>
      </c>
      <c r="J31" s="386">
        <v>3.2299999999999995E-2</v>
      </c>
      <c r="K31" s="385"/>
      <c r="L31" s="3"/>
      <c r="M31" s="3"/>
      <c r="N31" s="61">
        <f t="shared" si="0"/>
        <v>0.78857421874999967</v>
      </c>
      <c r="O31" s="3"/>
    </row>
    <row r="32" spans="1:15" ht="15" thickBot="1" x14ac:dyDescent="0.35">
      <c r="A32" s="18">
        <v>42887</v>
      </c>
      <c r="B32" s="402">
        <v>42896</v>
      </c>
      <c r="C32" s="17" t="s">
        <v>3</v>
      </c>
      <c r="D32" s="63" t="s">
        <v>92</v>
      </c>
      <c r="E32" s="408" t="s">
        <v>1027</v>
      </c>
      <c r="F32" s="3" t="s">
        <v>261</v>
      </c>
      <c r="G32" s="3" t="s">
        <v>277</v>
      </c>
      <c r="H32" s="385">
        <v>1.5</v>
      </c>
      <c r="I32" s="385">
        <v>1.4</v>
      </c>
      <c r="J32" s="386">
        <v>3.1300000000000001E-2</v>
      </c>
      <c r="K32" s="385"/>
      <c r="L32" s="3"/>
      <c r="M32" s="3"/>
      <c r="N32" s="61">
        <f t="shared" si="0"/>
        <v>0.92740740740740746</v>
      </c>
      <c r="O32" s="3"/>
    </row>
    <row r="33" spans="1:15" ht="15" thickBot="1" x14ac:dyDescent="0.35">
      <c r="A33" s="18">
        <v>42887</v>
      </c>
      <c r="B33" s="402">
        <v>42896</v>
      </c>
      <c r="C33" s="17" t="s">
        <v>3</v>
      </c>
      <c r="D33" s="63" t="s">
        <v>92</v>
      </c>
      <c r="E33" s="408" t="s">
        <v>1028</v>
      </c>
      <c r="F33" s="3" t="s">
        <v>261</v>
      </c>
      <c r="G33" s="3" t="s">
        <v>277</v>
      </c>
      <c r="H33" s="385">
        <v>2</v>
      </c>
      <c r="I33" s="385">
        <v>1.9</v>
      </c>
      <c r="J33" s="386">
        <v>5.5E-2</v>
      </c>
      <c r="K33" s="385"/>
      <c r="L33" s="3"/>
      <c r="M33" s="3"/>
      <c r="N33" s="61">
        <f t="shared" si="0"/>
        <v>0.6875</v>
      </c>
      <c r="O33" s="3"/>
    </row>
    <row r="34" spans="1:15" ht="15" thickBot="1" x14ac:dyDescent="0.35">
      <c r="A34" s="18">
        <v>42887</v>
      </c>
      <c r="B34" s="402">
        <v>42896</v>
      </c>
      <c r="C34" s="17" t="s">
        <v>3</v>
      </c>
      <c r="D34" s="63" t="s">
        <v>92</v>
      </c>
      <c r="E34" s="408" t="s">
        <v>1029</v>
      </c>
      <c r="F34" s="3" t="s">
        <v>261</v>
      </c>
      <c r="G34" s="3" t="s">
        <v>277</v>
      </c>
      <c r="H34" s="385">
        <v>1.5</v>
      </c>
      <c r="I34" s="385">
        <v>1.4</v>
      </c>
      <c r="J34" s="386">
        <v>2.5600000000000001E-2</v>
      </c>
      <c r="K34" s="385"/>
      <c r="L34" s="3"/>
      <c r="M34" s="3"/>
      <c r="N34" s="61">
        <f t="shared" si="0"/>
        <v>0.75851851851851848</v>
      </c>
      <c r="O34" s="3"/>
    </row>
    <row r="35" spans="1:15" ht="15" thickBot="1" x14ac:dyDescent="0.35">
      <c r="A35" s="18">
        <v>42887</v>
      </c>
      <c r="B35" s="402">
        <v>42896</v>
      </c>
      <c r="C35" s="17" t="s">
        <v>3</v>
      </c>
      <c r="D35" s="63" t="s">
        <v>92</v>
      </c>
      <c r="E35" s="408" t="s">
        <v>1030</v>
      </c>
      <c r="F35" s="3" t="s">
        <v>261</v>
      </c>
      <c r="G35" s="3" t="s">
        <v>277</v>
      </c>
      <c r="H35" s="385">
        <v>1.5</v>
      </c>
      <c r="I35" s="385">
        <v>1.4</v>
      </c>
      <c r="J35" s="386">
        <v>3.8399999999999997E-2</v>
      </c>
      <c r="K35" s="385"/>
      <c r="L35" s="3"/>
      <c r="M35" s="3"/>
      <c r="N35" s="61">
        <f t="shared" si="0"/>
        <v>1.1377777777777778</v>
      </c>
      <c r="O35" s="3"/>
    </row>
    <row r="36" spans="1:15" ht="15" thickBot="1" x14ac:dyDescent="0.35">
      <c r="A36" s="18">
        <v>42887</v>
      </c>
      <c r="B36" s="402">
        <v>42896</v>
      </c>
      <c r="C36" s="17" t="s">
        <v>3</v>
      </c>
      <c r="D36" s="63" t="s">
        <v>92</v>
      </c>
      <c r="E36" s="408" t="s">
        <v>1031</v>
      </c>
      <c r="F36" s="3" t="s">
        <v>261</v>
      </c>
      <c r="G36" s="3" t="s">
        <v>277</v>
      </c>
      <c r="H36" s="385">
        <v>2</v>
      </c>
      <c r="I36" s="385">
        <v>1.8</v>
      </c>
      <c r="J36" s="386">
        <v>5.7299999999999997E-2</v>
      </c>
      <c r="K36" s="385"/>
      <c r="L36" s="3"/>
      <c r="M36" s="3"/>
      <c r="N36" s="61">
        <f t="shared" si="0"/>
        <v>0.71624999999999994</v>
      </c>
      <c r="O36" s="3"/>
    </row>
    <row r="37" spans="1:15" ht="15" thickBot="1" x14ac:dyDescent="0.35">
      <c r="A37" s="18">
        <v>42887</v>
      </c>
      <c r="B37" s="402">
        <v>42896</v>
      </c>
      <c r="C37" s="17" t="s">
        <v>3</v>
      </c>
      <c r="D37" s="63" t="s">
        <v>92</v>
      </c>
      <c r="E37" s="408" t="s">
        <v>1032</v>
      </c>
      <c r="F37" s="3" t="s">
        <v>261</v>
      </c>
      <c r="G37" s="3" t="s">
        <v>277</v>
      </c>
      <c r="H37" s="385">
        <v>2.1</v>
      </c>
      <c r="I37" s="385">
        <v>2</v>
      </c>
      <c r="J37" s="386">
        <v>6.2799999999999995E-2</v>
      </c>
      <c r="K37" s="385"/>
      <c r="L37" s="3"/>
      <c r="M37" s="3"/>
      <c r="N37" s="61">
        <f t="shared" si="0"/>
        <v>0.67811251484720858</v>
      </c>
      <c r="O37" s="3"/>
    </row>
    <row r="38" spans="1:15" ht="15" thickBot="1" x14ac:dyDescent="0.35">
      <c r="A38" s="18">
        <v>42887</v>
      </c>
      <c r="B38" s="402">
        <v>42896</v>
      </c>
      <c r="C38" s="17" t="s">
        <v>3</v>
      </c>
      <c r="D38" s="63" t="s">
        <v>92</v>
      </c>
      <c r="E38" s="408" t="s">
        <v>1033</v>
      </c>
      <c r="F38" s="3" t="s">
        <v>261</v>
      </c>
      <c r="G38" s="3" t="s">
        <v>277</v>
      </c>
      <c r="H38" s="385">
        <v>2</v>
      </c>
      <c r="I38" s="385">
        <v>2</v>
      </c>
      <c r="J38" s="386">
        <v>5.11E-2</v>
      </c>
      <c r="K38" s="385"/>
      <c r="L38" s="3"/>
      <c r="M38" s="3"/>
      <c r="N38" s="61">
        <f t="shared" si="0"/>
        <v>0.63875000000000004</v>
      </c>
      <c r="O38" s="3"/>
    </row>
    <row r="39" spans="1:15" ht="15" thickBot="1" x14ac:dyDescent="0.35">
      <c r="A39" s="18">
        <v>42887</v>
      </c>
      <c r="B39" s="402">
        <v>42896</v>
      </c>
      <c r="C39" s="17" t="s">
        <v>3</v>
      </c>
      <c r="D39" s="63" t="s">
        <v>92</v>
      </c>
      <c r="E39" s="408" t="s">
        <v>1034</v>
      </c>
      <c r="F39" s="3" t="s">
        <v>261</v>
      </c>
      <c r="G39" s="3" t="s">
        <v>277</v>
      </c>
      <c r="H39" s="385">
        <v>2.2000000000000002</v>
      </c>
      <c r="I39" s="385">
        <v>2</v>
      </c>
      <c r="J39" s="386">
        <v>8.2099999999999992E-2</v>
      </c>
      <c r="K39" s="385"/>
      <c r="L39" s="3"/>
      <c r="M39" s="3"/>
      <c r="N39" s="61">
        <f t="shared" si="0"/>
        <v>0.77103681442524385</v>
      </c>
      <c r="O39" s="3"/>
    </row>
    <row r="40" spans="1:15" ht="15" thickBot="1" x14ac:dyDescent="0.35">
      <c r="A40" s="18">
        <v>42887</v>
      </c>
      <c r="B40" s="402">
        <v>42896</v>
      </c>
      <c r="C40" s="17" t="s">
        <v>3</v>
      </c>
      <c r="D40" s="63" t="s">
        <v>92</v>
      </c>
      <c r="E40" s="408" t="s">
        <v>1035</v>
      </c>
      <c r="F40" s="3" t="s">
        <v>261</v>
      </c>
      <c r="G40" s="3" t="s">
        <v>277</v>
      </c>
      <c r="H40" s="385">
        <v>1.8</v>
      </c>
      <c r="I40" s="385">
        <v>1.7</v>
      </c>
      <c r="J40" s="386">
        <v>5.7200000000000001E-2</v>
      </c>
      <c r="K40" s="385"/>
      <c r="L40" s="3"/>
      <c r="M40" s="3"/>
      <c r="N40" s="61">
        <f t="shared" si="0"/>
        <v>0.98079561042523988</v>
      </c>
      <c r="O40" s="3"/>
    </row>
    <row r="41" spans="1:15" ht="15" thickBot="1" x14ac:dyDescent="0.35">
      <c r="A41" s="18">
        <v>42887</v>
      </c>
      <c r="B41" s="402">
        <v>42896</v>
      </c>
      <c r="C41" s="17" t="s">
        <v>3</v>
      </c>
      <c r="D41" s="63" t="s">
        <v>92</v>
      </c>
      <c r="E41" s="408" t="s">
        <v>1036</v>
      </c>
      <c r="F41" s="3" t="s">
        <v>261</v>
      </c>
      <c r="G41" s="3" t="s">
        <v>277</v>
      </c>
      <c r="H41" s="385">
        <v>2.1</v>
      </c>
      <c r="I41" s="385">
        <v>2</v>
      </c>
      <c r="J41" s="386">
        <v>6.7900000000000002E-2</v>
      </c>
      <c r="K41" s="385"/>
      <c r="L41" s="3"/>
      <c r="M41" s="3"/>
      <c r="N41" s="61">
        <f t="shared" si="0"/>
        <v>0.7331821617535903</v>
      </c>
      <c r="O41" s="3"/>
    </row>
    <row r="42" spans="1:15" ht="15" thickBot="1" x14ac:dyDescent="0.35">
      <c r="A42" s="18">
        <v>42887</v>
      </c>
      <c r="B42" s="402">
        <v>42896</v>
      </c>
      <c r="C42" s="17" t="s">
        <v>3</v>
      </c>
      <c r="D42" s="63" t="s">
        <v>92</v>
      </c>
      <c r="E42" s="408" t="s">
        <v>1037</v>
      </c>
      <c r="F42" s="3" t="s">
        <v>261</v>
      </c>
      <c r="G42" s="3" t="s">
        <v>277</v>
      </c>
      <c r="H42" s="385">
        <v>2.2999999999999998</v>
      </c>
      <c r="I42" s="385">
        <v>2</v>
      </c>
      <c r="J42" s="386">
        <v>0.11270000000000001</v>
      </c>
      <c r="K42" s="385"/>
      <c r="L42" s="3">
        <v>11.1</v>
      </c>
      <c r="M42" s="3">
        <v>92.2</v>
      </c>
      <c r="N42" s="61">
        <f t="shared" si="0"/>
        <v>0.92627599243856373</v>
      </c>
      <c r="O42" s="3"/>
    </row>
    <row r="43" spans="1:15" ht="15" thickBot="1" x14ac:dyDescent="0.35">
      <c r="A43" s="18">
        <v>42887</v>
      </c>
      <c r="B43" s="402">
        <v>42896</v>
      </c>
      <c r="C43" s="17" t="s">
        <v>3</v>
      </c>
      <c r="D43" s="63" t="s">
        <v>92</v>
      </c>
      <c r="E43" s="408" t="s">
        <v>1038</v>
      </c>
      <c r="F43" s="3" t="s">
        <v>261</v>
      </c>
      <c r="G43" s="3" t="s">
        <v>277</v>
      </c>
      <c r="H43" s="385">
        <v>2.9</v>
      </c>
      <c r="I43" s="385">
        <v>2.6</v>
      </c>
      <c r="J43" s="386">
        <v>0.15109999999999998</v>
      </c>
      <c r="K43" s="385"/>
      <c r="L43" s="3">
        <v>24.7</v>
      </c>
      <c r="M43" s="3">
        <v>117</v>
      </c>
      <c r="N43" s="61">
        <f t="shared" si="0"/>
        <v>0.6195415966214276</v>
      </c>
      <c r="O43" s="3"/>
    </row>
    <row r="44" spans="1:15" ht="15" thickBot="1" x14ac:dyDescent="0.35">
      <c r="A44" s="18">
        <v>42887</v>
      </c>
      <c r="B44" s="402">
        <v>42896</v>
      </c>
      <c r="C44" s="17" t="s">
        <v>3</v>
      </c>
      <c r="D44" s="63" t="s">
        <v>92</v>
      </c>
      <c r="E44" s="408" t="s">
        <v>1039</v>
      </c>
      <c r="F44" s="3" t="s">
        <v>261</v>
      </c>
      <c r="G44" s="3" t="s">
        <v>277</v>
      </c>
      <c r="H44" s="385">
        <v>3.7</v>
      </c>
      <c r="I44" s="385">
        <v>3.5</v>
      </c>
      <c r="J44" s="386">
        <v>0.15259999999999999</v>
      </c>
      <c r="K44" s="385"/>
      <c r="L44" s="3">
        <v>23.2</v>
      </c>
      <c r="M44" s="3">
        <v>121.1</v>
      </c>
      <c r="N44" s="61">
        <f t="shared" si="0"/>
        <v>0.30126547292361749</v>
      </c>
      <c r="O44" s="3"/>
    </row>
    <row r="45" spans="1:15" ht="15" thickBot="1" x14ac:dyDescent="0.35">
      <c r="A45" s="18">
        <v>42887</v>
      </c>
      <c r="B45" s="402">
        <v>42896</v>
      </c>
      <c r="C45" s="17" t="s">
        <v>3</v>
      </c>
      <c r="D45" s="63" t="s">
        <v>92</v>
      </c>
      <c r="E45" s="408" t="s">
        <v>1040</v>
      </c>
      <c r="F45" s="3" t="s">
        <v>261</v>
      </c>
      <c r="G45" s="3" t="s">
        <v>277</v>
      </c>
      <c r="H45" s="385">
        <v>3</v>
      </c>
      <c r="I45" s="385">
        <v>2.8</v>
      </c>
      <c r="J45" s="386">
        <v>0.15409999999999999</v>
      </c>
      <c r="K45" s="385"/>
      <c r="L45" s="3">
        <v>24</v>
      </c>
      <c r="M45" s="3">
        <v>121.6</v>
      </c>
      <c r="N45" s="61">
        <f t="shared" si="0"/>
        <v>0.57074074074074066</v>
      </c>
      <c r="O45" s="3"/>
    </row>
    <row r="46" spans="1:15" ht="15" thickBot="1" x14ac:dyDescent="0.35">
      <c r="A46" s="18">
        <v>42887</v>
      </c>
      <c r="B46" s="402">
        <v>42896</v>
      </c>
      <c r="C46" s="17" t="s">
        <v>3</v>
      </c>
      <c r="D46" s="63" t="s">
        <v>92</v>
      </c>
      <c r="E46" s="408" t="s">
        <v>1041</v>
      </c>
      <c r="F46" s="3" t="s">
        <v>261</v>
      </c>
      <c r="G46" s="3" t="s">
        <v>277</v>
      </c>
      <c r="H46" s="385">
        <v>2.4</v>
      </c>
      <c r="I46" s="385">
        <v>2.2999999999999998</v>
      </c>
      <c r="J46" s="386">
        <v>0.107</v>
      </c>
      <c r="K46" s="385"/>
      <c r="L46" s="3">
        <v>16.600000000000001</v>
      </c>
      <c r="M46" s="3">
        <v>83</v>
      </c>
      <c r="N46" s="61">
        <f t="shared" si="0"/>
        <v>0.77401620370370361</v>
      </c>
      <c r="O46" s="3"/>
    </row>
    <row r="47" spans="1:15" ht="15" thickBot="1" x14ac:dyDescent="0.35">
      <c r="A47" s="18">
        <v>42887</v>
      </c>
      <c r="B47" s="402">
        <v>42896</v>
      </c>
      <c r="C47" s="17" t="s">
        <v>3</v>
      </c>
      <c r="D47" s="63" t="s">
        <v>92</v>
      </c>
      <c r="E47" s="408" t="s">
        <v>1042</v>
      </c>
      <c r="F47" s="3" t="s">
        <v>261</v>
      </c>
      <c r="G47" s="3" t="s">
        <v>277</v>
      </c>
      <c r="H47" s="385">
        <v>3.3</v>
      </c>
      <c r="I47" s="385">
        <v>3</v>
      </c>
      <c r="J47" s="386">
        <v>0.22369999999999998</v>
      </c>
      <c r="K47" s="385"/>
      <c r="L47" s="3">
        <v>18.5</v>
      </c>
      <c r="M47" s="3">
        <v>179.1</v>
      </c>
      <c r="N47" s="61">
        <f t="shared" si="0"/>
        <v>0.62247822578401091</v>
      </c>
      <c r="O47" s="3"/>
    </row>
    <row r="48" spans="1:15" ht="15" thickBot="1" x14ac:dyDescent="0.35">
      <c r="A48" s="18">
        <v>42887</v>
      </c>
      <c r="B48" s="402">
        <v>42896</v>
      </c>
      <c r="C48" s="17" t="s">
        <v>3</v>
      </c>
      <c r="D48" s="63" t="s">
        <v>92</v>
      </c>
      <c r="E48" s="408" t="s">
        <v>1043</v>
      </c>
      <c r="F48" s="3" t="s">
        <v>261</v>
      </c>
      <c r="G48" s="3" t="s">
        <v>277</v>
      </c>
      <c r="H48" s="385">
        <v>1.8</v>
      </c>
      <c r="I48" s="385">
        <v>1.7</v>
      </c>
      <c r="J48" s="386">
        <v>4.9200000000000001E-2</v>
      </c>
      <c r="K48" s="385"/>
      <c r="L48" s="3"/>
      <c r="M48" s="3"/>
      <c r="N48" s="61">
        <f t="shared" si="0"/>
        <v>0.84362139917695467</v>
      </c>
      <c r="O48" s="3"/>
    </row>
    <row r="49" spans="1:15" ht="15" thickBot="1" x14ac:dyDescent="0.35">
      <c r="A49" s="18">
        <v>42887</v>
      </c>
      <c r="B49" s="402">
        <v>42896</v>
      </c>
      <c r="C49" s="17" t="s">
        <v>3</v>
      </c>
      <c r="D49" s="63" t="s">
        <v>92</v>
      </c>
      <c r="E49" s="408" t="s">
        <v>1044</v>
      </c>
      <c r="F49" s="3" t="s">
        <v>261</v>
      </c>
      <c r="G49" s="3" t="s">
        <v>277</v>
      </c>
      <c r="H49" s="385">
        <v>1.7</v>
      </c>
      <c r="I49" s="385">
        <v>1.5</v>
      </c>
      <c r="J49" s="386">
        <v>3.1100000000000003E-2</v>
      </c>
      <c r="K49" s="385"/>
      <c r="L49" s="3"/>
      <c r="M49" s="3"/>
      <c r="N49" s="61">
        <f t="shared" si="0"/>
        <v>0.63301445145532276</v>
      </c>
      <c r="O49" s="3"/>
    </row>
    <row r="50" spans="1:15" ht="15" thickBot="1" x14ac:dyDescent="0.35">
      <c r="A50" s="18">
        <v>42887</v>
      </c>
      <c r="B50" s="402">
        <v>42896</v>
      </c>
      <c r="C50" s="17" t="s">
        <v>3</v>
      </c>
      <c r="D50" s="63" t="s">
        <v>92</v>
      </c>
      <c r="E50" s="408" t="s">
        <v>1045</v>
      </c>
      <c r="F50" s="3" t="s">
        <v>261</v>
      </c>
      <c r="G50" s="3" t="s">
        <v>277</v>
      </c>
      <c r="H50" s="385">
        <v>2</v>
      </c>
      <c r="I50" s="385">
        <v>1.9</v>
      </c>
      <c r="J50" s="386">
        <v>6.6700000000000009E-2</v>
      </c>
      <c r="K50" s="385"/>
      <c r="L50" s="3"/>
      <c r="M50" s="3"/>
      <c r="N50" s="61">
        <f t="shared" si="0"/>
        <v>0.8337500000000001</v>
      </c>
      <c r="O50" s="3"/>
    </row>
    <row r="51" spans="1:15" ht="15" thickBot="1" x14ac:dyDescent="0.35">
      <c r="A51" s="18">
        <v>42887</v>
      </c>
      <c r="B51" s="402">
        <v>42896</v>
      </c>
      <c r="C51" s="17" t="s">
        <v>3</v>
      </c>
      <c r="D51" s="63" t="s">
        <v>92</v>
      </c>
      <c r="E51" s="408" t="s">
        <v>1046</v>
      </c>
      <c r="F51" s="3" t="s">
        <v>261</v>
      </c>
      <c r="G51" s="3" t="s">
        <v>277</v>
      </c>
      <c r="H51" s="385">
        <v>1.7</v>
      </c>
      <c r="I51" s="385">
        <v>1.5</v>
      </c>
      <c r="J51" s="386">
        <v>3.3600000000000005E-2</v>
      </c>
      <c r="K51" s="385"/>
      <c r="L51" s="3"/>
      <c r="M51" s="3"/>
      <c r="N51" s="61">
        <f t="shared" si="0"/>
        <v>0.68389985752086313</v>
      </c>
      <c r="O51" s="3"/>
    </row>
    <row r="52" spans="1:15" ht="15" thickBot="1" x14ac:dyDescent="0.35">
      <c r="A52" s="18">
        <v>42887</v>
      </c>
      <c r="B52" s="402">
        <v>42896</v>
      </c>
      <c r="C52" s="17" t="s">
        <v>3</v>
      </c>
      <c r="D52" s="63" t="s">
        <v>92</v>
      </c>
      <c r="E52" s="408" t="s">
        <v>1047</v>
      </c>
      <c r="F52" s="3" t="s">
        <v>261</v>
      </c>
      <c r="G52" s="3" t="s">
        <v>277</v>
      </c>
      <c r="H52" s="385">
        <v>1.6</v>
      </c>
      <c r="I52" s="385">
        <v>1.5</v>
      </c>
      <c r="J52" s="386">
        <v>3.2899999999999999E-2</v>
      </c>
      <c r="K52" s="385"/>
      <c r="L52" s="3"/>
      <c r="M52" s="3"/>
      <c r="N52" s="61">
        <f t="shared" si="0"/>
        <v>0.80322265624999978</v>
      </c>
      <c r="O52" s="3"/>
    </row>
    <row r="53" spans="1:15" ht="15" thickBot="1" x14ac:dyDescent="0.35">
      <c r="A53" s="18">
        <v>42887</v>
      </c>
      <c r="B53" s="402">
        <v>42896</v>
      </c>
      <c r="C53" s="17" t="s">
        <v>3</v>
      </c>
      <c r="D53" s="63" t="s">
        <v>92</v>
      </c>
      <c r="E53" s="408" t="s">
        <v>1048</v>
      </c>
      <c r="F53" s="3" t="s">
        <v>261</v>
      </c>
      <c r="G53" s="3" t="s">
        <v>277</v>
      </c>
      <c r="H53" s="385">
        <v>2.2000000000000002</v>
      </c>
      <c r="I53" s="385">
        <v>2</v>
      </c>
      <c r="J53" s="386">
        <v>8.3699999999999997E-2</v>
      </c>
      <c r="K53" s="385"/>
      <c r="L53" s="3"/>
      <c r="M53" s="3"/>
      <c r="N53" s="61">
        <f t="shared" si="0"/>
        <v>0.78606311044327537</v>
      </c>
      <c r="O53" s="3"/>
    </row>
    <row r="54" spans="1:15" ht="15" thickBot="1" x14ac:dyDescent="0.35">
      <c r="A54" s="18">
        <v>42887</v>
      </c>
      <c r="B54" s="402">
        <v>42896</v>
      </c>
      <c r="C54" s="17" t="s">
        <v>3</v>
      </c>
      <c r="D54" s="63" t="s">
        <v>92</v>
      </c>
      <c r="E54" s="408" t="s">
        <v>1049</v>
      </c>
      <c r="F54" s="3" t="s">
        <v>261</v>
      </c>
      <c r="G54" s="3" t="s">
        <v>277</v>
      </c>
      <c r="H54" s="385">
        <v>2</v>
      </c>
      <c r="I54" s="385">
        <v>1.9</v>
      </c>
      <c r="J54" s="386">
        <v>7.9000000000000001E-2</v>
      </c>
      <c r="K54" s="385"/>
      <c r="L54" s="3"/>
      <c r="M54" s="3"/>
      <c r="N54" s="61">
        <f t="shared" si="0"/>
        <v>0.98750000000000004</v>
      </c>
      <c r="O54" s="3"/>
    </row>
    <row r="55" spans="1:15" ht="15" thickBot="1" x14ac:dyDescent="0.35">
      <c r="A55" s="18">
        <v>42887</v>
      </c>
      <c r="B55" s="402">
        <v>42896</v>
      </c>
      <c r="C55" s="17" t="s">
        <v>3</v>
      </c>
      <c r="D55" s="63" t="s">
        <v>92</v>
      </c>
      <c r="E55" s="408" t="s">
        <v>1050</v>
      </c>
      <c r="F55" s="3" t="s">
        <v>261</v>
      </c>
      <c r="G55" s="3" t="s">
        <v>277</v>
      </c>
      <c r="H55" s="385">
        <v>2.4</v>
      </c>
      <c r="I55" s="385">
        <v>2.1</v>
      </c>
      <c r="J55" s="386">
        <v>0.1008</v>
      </c>
      <c r="K55" s="385"/>
      <c r="L55" s="3">
        <v>9.5</v>
      </c>
      <c r="M55" s="3">
        <v>73</v>
      </c>
      <c r="N55" s="61">
        <f t="shared" si="0"/>
        <v>0.72916666666666663</v>
      </c>
      <c r="O55" s="3"/>
    </row>
    <row r="56" spans="1:15" ht="15" thickBot="1" x14ac:dyDescent="0.35">
      <c r="A56" s="18">
        <v>42887</v>
      </c>
      <c r="B56" s="402">
        <v>42896</v>
      </c>
      <c r="C56" s="17" t="s">
        <v>3</v>
      </c>
      <c r="D56" s="63" t="s">
        <v>92</v>
      </c>
      <c r="E56" s="408" t="s">
        <v>1051</v>
      </c>
      <c r="F56" s="3" t="s">
        <v>261</v>
      </c>
      <c r="G56" s="3" t="s">
        <v>277</v>
      </c>
      <c r="H56" s="385">
        <v>2.7</v>
      </c>
      <c r="I56" s="385">
        <v>2.5</v>
      </c>
      <c r="J56" s="386">
        <v>0.1706</v>
      </c>
      <c r="K56" s="385"/>
      <c r="L56" s="3">
        <v>20.3</v>
      </c>
      <c r="M56" s="3">
        <v>135.69999999999999</v>
      </c>
      <c r="N56" s="61">
        <f t="shared" si="0"/>
        <v>0.86673779403546181</v>
      </c>
      <c r="O56" s="3"/>
    </row>
    <row r="57" spans="1:15" ht="15" thickBot="1" x14ac:dyDescent="0.35">
      <c r="A57" s="18">
        <v>42887</v>
      </c>
      <c r="B57" s="402">
        <v>42896</v>
      </c>
      <c r="C57" s="17" t="s">
        <v>3</v>
      </c>
      <c r="D57" s="63" t="s">
        <v>92</v>
      </c>
      <c r="E57" s="408" t="s">
        <v>1052</v>
      </c>
      <c r="F57" s="3" t="s">
        <v>261</v>
      </c>
      <c r="G57" s="3" t="s">
        <v>277</v>
      </c>
      <c r="H57" s="385">
        <v>2.2000000000000002</v>
      </c>
      <c r="I57" s="385">
        <v>2</v>
      </c>
      <c r="J57" s="386">
        <v>8.5300000000000001E-2</v>
      </c>
      <c r="K57" s="385"/>
      <c r="L57" s="3"/>
      <c r="M57" s="3"/>
      <c r="N57" s="61">
        <f t="shared" si="0"/>
        <v>0.801089406461307</v>
      </c>
      <c r="O57" s="3"/>
    </row>
    <row r="58" spans="1:15" ht="15" thickBot="1" x14ac:dyDescent="0.35">
      <c r="A58" s="18">
        <v>42887</v>
      </c>
      <c r="B58" s="402">
        <v>42896</v>
      </c>
      <c r="C58" s="17" t="s">
        <v>3</v>
      </c>
      <c r="D58" s="63" t="s">
        <v>92</v>
      </c>
      <c r="E58" s="408" t="s">
        <v>1053</v>
      </c>
      <c r="F58" s="3" t="s">
        <v>261</v>
      </c>
      <c r="G58" s="3" t="s">
        <v>277</v>
      </c>
      <c r="H58" s="385">
        <v>2.7</v>
      </c>
      <c r="I58" s="385">
        <v>2.4</v>
      </c>
      <c r="J58" s="386">
        <v>0.11890000000000001</v>
      </c>
      <c r="K58" s="385"/>
      <c r="L58" s="3">
        <v>14.7</v>
      </c>
      <c r="M58" s="3">
        <v>92</v>
      </c>
      <c r="N58" s="61">
        <f t="shared" si="0"/>
        <v>0.60407458212670828</v>
      </c>
      <c r="O58" s="3"/>
    </row>
    <row r="59" spans="1:15" ht="15" thickBot="1" x14ac:dyDescent="0.35">
      <c r="A59" s="18">
        <v>42887</v>
      </c>
      <c r="B59" s="402">
        <v>42896</v>
      </c>
      <c r="C59" s="17" t="s">
        <v>3</v>
      </c>
      <c r="D59" s="63" t="s">
        <v>92</v>
      </c>
      <c r="E59" s="408" t="s">
        <v>1054</v>
      </c>
      <c r="F59" s="3" t="s">
        <v>261</v>
      </c>
      <c r="G59" s="3" t="s">
        <v>277</v>
      </c>
      <c r="H59" s="385">
        <v>2.8</v>
      </c>
      <c r="I59" s="385">
        <v>2.5</v>
      </c>
      <c r="J59" s="386">
        <v>0.15280000000000002</v>
      </c>
      <c r="K59" s="385"/>
      <c r="L59" s="3">
        <v>14.2</v>
      </c>
      <c r="M59" s="3">
        <v>117.9</v>
      </c>
      <c r="N59" s="61">
        <f t="shared" si="0"/>
        <v>0.69606413994169114</v>
      </c>
      <c r="O59" s="3"/>
    </row>
    <row r="60" spans="1:15" ht="15" thickBot="1" x14ac:dyDescent="0.35">
      <c r="A60" s="18">
        <v>42887</v>
      </c>
      <c r="B60" s="402">
        <v>42896</v>
      </c>
      <c r="C60" s="17" t="s">
        <v>3</v>
      </c>
      <c r="D60" s="63" t="s">
        <v>92</v>
      </c>
      <c r="E60" s="408" t="s">
        <v>1055</v>
      </c>
      <c r="F60" s="3" t="s">
        <v>261</v>
      </c>
      <c r="G60" s="3" t="s">
        <v>277</v>
      </c>
      <c r="H60" s="385">
        <v>2.8</v>
      </c>
      <c r="I60" s="385">
        <v>2.6</v>
      </c>
      <c r="J60" s="386">
        <v>0.15790000000000001</v>
      </c>
      <c r="K60" s="385"/>
      <c r="L60" s="3">
        <v>24.6</v>
      </c>
      <c r="M60" s="3">
        <v>120.7</v>
      </c>
      <c r="N60" s="61">
        <f t="shared" si="0"/>
        <v>0.71929664723032094</v>
      </c>
      <c r="O60" s="3"/>
    </row>
    <row r="61" spans="1:15" ht="15" thickBot="1" x14ac:dyDescent="0.35">
      <c r="A61" s="18">
        <v>42887</v>
      </c>
      <c r="B61" s="402">
        <v>42896</v>
      </c>
      <c r="C61" s="17" t="s">
        <v>3</v>
      </c>
      <c r="D61" s="63" t="s">
        <v>92</v>
      </c>
      <c r="E61" s="408" t="s">
        <v>1056</v>
      </c>
      <c r="F61" s="3" t="s">
        <v>261</v>
      </c>
      <c r="G61" s="3" t="s">
        <v>277</v>
      </c>
      <c r="H61" s="385">
        <v>3.7</v>
      </c>
      <c r="I61" s="385">
        <v>3.5</v>
      </c>
      <c r="J61" s="386">
        <v>0.311</v>
      </c>
      <c r="K61" s="385">
        <v>3.9</v>
      </c>
      <c r="L61" s="3">
        <v>24.7</v>
      </c>
      <c r="M61" s="3">
        <v>274.60000000000002</v>
      </c>
      <c r="N61" s="61">
        <f t="shared" si="0"/>
        <v>0.61398140287840797</v>
      </c>
      <c r="O61" s="3" t="s">
        <v>263</v>
      </c>
    </row>
    <row r="62" spans="1:15" ht="15" thickBot="1" x14ac:dyDescent="0.35">
      <c r="A62" s="18">
        <v>42887</v>
      </c>
      <c r="B62" s="402">
        <v>42896</v>
      </c>
      <c r="C62" s="17" t="s">
        <v>3</v>
      </c>
      <c r="D62" s="63" t="s">
        <v>92</v>
      </c>
      <c r="E62" s="408" t="s">
        <v>1057</v>
      </c>
      <c r="F62" s="3" t="s">
        <v>261</v>
      </c>
      <c r="G62" s="3" t="s">
        <v>277</v>
      </c>
      <c r="H62" s="385">
        <v>3.5</v>
      </c>
      <c r="I62" s="385">
        <v>3.1</v>
      </c>
      <c r="J62" s="386">
        <v>0.29460000000000003</v>
      </c>
      <c r="K62" s="385">
        <v>3</v>
      </c>
      <c r="L62" s="3">
        <v>28</v>
      </c>
      <c r="M62" s="3">
        <v>244.4</v>
      </c>
      <c r="N62" s="61">
        <f t="shared" si="0"/>
        <v>0.68711370262390681</v>
      </c>
      <c r="O62" s="3" t="s">
        <v>263</v>
      </c>
    </row>
    <row r="63" spans="1:15" ht="15" thickBot="1" x14ac:dyDescent="0.35">
      <c r="A63" s="18">
        <v>42887</v>
      </c>
      <c r="B63" s="402">
        <v>42896</v>
      </c>
      <c r="C63" s="17" t="s">
        <v>3</v>
      </c>
      <c r="D63" s="63" t="s">
        <v>92</v>
      </c>
      <c r="E63" s="408" t="s">
        <v>1058</v>
      </c>
      <c r="F63" s="3" t="s">
        <v>261</v>
      </c>
      <c r="G63" s="3" t="s">
        <v>277</v>
      </c>
      <c r="H63" s="385">
        <v>3.6</v>
      </c>
      <c r="I63" s="385">
        <v>3.2</v>
      </c>
      <c r="J63" s="386">
        <v>0.31180000000000002</v>
      </c>
      <c r="K63" s="385"/>
      <c r="L63" s="3">
        <v>15</v>
      </c>
      <c r="M63" s="3">
        <v>266.7</v>
      </c>
      <c r="N63" s="61">
        <f t="shared" si="0"/>
        <v>0.66829561042523999</v>
      </c>
      <c r="O63" s="3" t="s">
        <v>263</v>
      </c>
    </row>
    <row r="64" spans="1:15" ht="15" thickBot="1" x14ac:dyDescent="0.35">
      <c r="A64" s="18">
        <v>42887</v>
      </c>
      <c r="B64" s="402">
        <v>42896</v>
      </c>
      <c r="C64" s="17" t="s">
        <v>3</v>
      </c>
      <c r="D64" s="63" t="s">
        <v>92</v>
      </c>
      <c r="E64" s="408" t="s">
        <v>1059</v>
      </c>
      <c r="F64" s="3" t="s">
        <v>264</v>
      </c>
      <c r="G64" s="3" t="s">
        <v>277</v>
      </c>
      <c r="H64" s="385">
        <v>2.2000000000000002</v>
      </c>
      <c r="I64" s="385">
        <v>2</v>
      </c>
      <c r="J64" s="386">
        <v>6.0999999999999999E-2</v>
      </c>
      <c r="K64" s="385"/>
      <c r="L64" s="3"/>
      <c r="M64" s="3"/>
      <c r="N64" s="61">
        <f t="shared" si="0"/>
        <v>0.57287753568745281</v>
      </c>
      <c r="O64" s="3"/>
    </row>
    <row r="65" spans="1:15" ht="15" thickBot="1" x14ac:dyDescent="0.35">
      <c r="A65" s="18">
        <v>42887</v>
      </c>
      <c r="B65" s="402">
        <v>42896</v>
      </c>
      <c r="C65" s="17" t="s">
        <v>3</v>
      </c>
      <c r="D65" s="63" t="s">
        <v>92</v>
      </c>
      <c r="E65" s="408" t="s">
        <v>1060</v>
      </c>
      <c r="F65" s="3" t="s">
        <v>264</v>
      </c>
      <c r="G65" s="3" t="s">
        <v>277</v>
      </c>
      <c r="H65" s="385">
        <v>3</v>
      </c>
      <c r="I65" s="385">
        <v>2.6</v>
      </c>
      <c r="J65" s="386">
        <v>0.19409999999999999</v>
      </c>
      <c r="K65" s="385"/>
      <c r="L65" s="3">
        <v>19.8</v>
      </c>
      <c r="M65" s="3">
        <v>149.4</v>
      </c>
      <c r="N65" s="61">
        <f t="shared" si="0"/>
        <v>0.71888888888888891</v>
      </c>
      <c r="O65" s="3"/>
    </row>
    <row r="66" spans="1:15" ht="15" thickBot="1" x14ac:dyDescent="0.35">
      <c r="A66" s="18">
        <v>42887</v>
      </c>
      <c r="B66" s="402">
        <v>42896</v>
      </c>
      <c r="C66" s="17" t="s">
        <v>3</v>
      </c>
      <c r="D66" s="63" t="s">
        <v>92</v>
      </c>
      <c r="E66" s="408" t="s">
        <v>1061</v>
      </c>
      <c r="F66" s="3" t="s">
        <v>264</v>
      </c>
      <c r="G66" s="3" t="s">
        <v>277</v>
      </c>
      <c r="H66" s="385">
        <v>3.7</v>
      </c>
      <c r="I66" s="385">
        <v>3.5</v>
      </c>
      <c r="J66" s="386">
        <v>0.3992</v>
      </c>
      <c r="K66" s="385"/>
      <c r="L66" s="3">
        <v>49.2</v>
      </c>
      <c r="M66" s="3">
        <v>318.8</v>
      </c>
      <c r="N66" s="61">
        <f t="shared" si="0"/>
        <v>0.78810731842141624</v>
      </c>
      <c r="O66" s="3"/>
    </row>
    <row r="67" spans="1:15" ht="15" thickBot="1" x14ac:dyDescent="0.35">
      <c r="A67" s="18">
        <v>42887</v>
      </c>
      <c r="B67" s="402">
        <v>42896</v>
      </c>
      <c r="C67" s="17" t="s">
        <v>3</v>
      </c>
      <c r="D67" s="63" t="s">
        <v>92</v>
      </c>
      <c r="E67" s="408" t="s">
        <v>1062</v>
      </c>
      <c r="F67" s="3" t="s">
        <v>264</v>
      </c>
      <c r="G67" s="3" t="s">
        <v>277</v>
      </c>
      <c r="H67" s="385">
        <v>2.5</v>
      </c>
      <c r="I67" s="385">
        <v>2.4</v>
      </c>
      <c r="J67" s="386">
        <v>0.1489</v>
      </c>
      <c r="K67" s="385"/>
      <c r="L67" s="3">
        <v>23.2</v>
      </c>
      <c r="M67" s="3">
        <v>109.4</v>
      </c>
      <c r="N67" s="61">
        <f t="shared" ref="N67:N130" si="1">100*J67/H67^3</f>
        <v>0.95296000000000003</v>
      </c>
      <c r="O67" s="3"/>
    </row>
    <row r="68" spans="1:15" ht="15" thickBot="1" x14ac:dyDescent="0.35">
      <c r="A68" s="18">
        <v>42887</v>
      </c>
      <c r="B68" s="402">
        <v>42896</v>
      </c>
      <c r="C68" s="17" t="s">
        <v>3</v>
      </c>
      <c r="D68" s="63" t="s">
        <v>92</v>
      </c>
      <c r="E68" s="408" t="s">
        <v>1063</v>
      </c>
      <c r="F68" s="3" t="s">
        <v>264</v>
      </c>
      <c r="G68" s="3" t="s">
        <v>277</v>
      </c>
      <c r="H68" s="385">
        <v>3.4</v>
      </c>
      <c r="I68" s="385">
        <v>3</v>
      </c>
      <c r="J68" s="386">
        <v>0.2419</v>
      </c>
      <c r="K68" s="385"/>
      <c r="L68" s="3">
        <v>30.6</v>
      </c>
      <c r="M68" s="3">
        <v>192.9</v>
      </c>
      <c r="N68" s="61">
        <f t="shared" si="1"/>
        <v>0.61545898636271124</v>
      </c>
      <c r="O68" s="3"/>
    </row>
    <row r="69" spans="1:15" ht="15" thickBot="1" x14ac:dyDescent="0.35">
      <c r="A69" s="18">
        <v>42887</v>
      </c>
      <c r="B69" s="402">
        <v>42896</v>
      </c>
      <c r="C69" s="17" t="s">
        <v>3</v>
      </c>
      <c r="D69" s="63" t="s">
        <v>92</v>
      </c>
      <c r="E69" s="408" t="s">
        <v>1064</v>
      </c>
      <c r="F69" s="3" t="s">
        <v>264</v>
      </c>
      <c r="G69" s="3" t="s">
        <v>277</v>
      </c>
      <c r="H69" s="385">
        <v>2.9</v>
      </c>
      <c r="I69" s="385">
        <v>2.5</v>
      </c>
      <c r="J69" s="386">
        <v>0.1855</v>
      </c>
      <c r="K69" s="385"/>
      <c r="L69" s="3">
        <v>30</v>
      </c>
      <c r="M69" s="3">
        <v>141.6</v>
      </c>
      <c r="N69" s="61">
        <f t="shared" si="1"/>
        <v>0.76058879002829149</v>
      </c>
      <c r="O69" s="3"/>
    </row>
    <row r="70" spans="1:15" ht="15" thickBot="1" x14ac:dyDescent="0.35">
      <c r="A70" s="18">
        <v>42887</v>
      </c>
      <c r="B70" s="402">
        <v>42896</v>
      </c>
      <c r="C70" s="17" t="s">
        <v>3</v>
      </c>
      <c r="D70" s="63" t="s">
        <v>92</v>
      </c>
      <c r="E70" s="408" t="s">
        <v>1065</v>
      </c>
      <c r="F70" s="3" t="s">
        <v>264</v>
      </c>
      <c r="G70" s="3" t="s">
        <v>277</v>
      </c>
      <c r="H70" s="385">
        <v>3.8</v>
      </c>
      <c r="I70" s="385">
        <v>3.5</v>
      </c>
      <c r="J70" s="386">
        <v>0.13469999999999999</v>
      </c>
      <c r="K70" s="385"/>
      <c r="L70" s="3">
        <v>17.8</v>
      </c>
      <c r="M70" s="3">
        <v>100.6</v>
      </c>
      <c r="N70" s="61">
        <f t="shared" si="1"/>
        <v>0.24548039072751132</v>
      </c>
      <c r="O70" s="3"/>
    </row>
    <row r="71" spans="1:15" ht="15" thickBot="1" x14ac:dyDescent="0.35">
      <c r="A71" s="18">
        <v>42887</v>
      </c>
      <c r="B71" s="402">
        <v>42896</v>
      </c>
      <c r="C71" s="17" t="s">
        <v>3</v>
      </c>
      <c r="D71" s="63" t="s">
        <v>92</v>
      </c>
      <c r="E71" s="408" t="s">
        <v>1066</v>
      </c>
      <c r="F71" s="3" t="s">
        <v>264</v>
      </c>
      <c r="G71" s="3" t="s">
        <v>277</v>
      </c>
      <c r="H71" s="385">
        <v>3.1</v>
      </c>
      <c r="I71" s="385">
        <v>2.7</v>
      </c>
      <c r="J71" s="386">
        <v>0.17230000000000001</v>
      </c>
      <c r="K71" s="385"/>
      <c r="L71" s="3">
        <v>18.600000000000001</v>
      </c>
      <c r="M71" s="3">
        <v>134.6</v>
      </c>
      <c r="N71" s="61">
        <f t="shared" si="1"/>
        <v>0.57836259272934776</v>
      </c>
      <c r="O71" s="3"/>
    </row>
    <row r="72" spans="1:15" ht="15" thickBot="1" x14ac:dyDescent="0.35">
      <c r="A72" s="18">
        <v>42887</v>
      </c>
      <c r="B72" s="402">
        <v>42896</v>
      </c>
      <c r="C72" s="17" t="s">
        <v>3</v>
      </c>
      <c r="D72" s="63" t="s">
        <v>92</v>
      </c>
      <c r="E72" s="408" t="s">
        <v>1067</v>
      </c>
      <c r="F72" s="3" t="s">
        <v>264</v>
      </c>
      <c r="G72" s="3" t="s">
        <v>277</v>
      </c>
      <c r="H72" s="385">
        <v>1.7</v>
      </c>
      <c r="I72" s="385">
        <v>1.5</v>
      </c>
      <c r="J72" s="386">
        <v>4.0299999999999996E-2</v>
      </c>
      <c r="K72" s="385"/>
      <c r="L72" s="3"/>
      <c r="M72" s="3"/>
      <c r="N72" s="61">
        <f t="shared" si="1"/>
        <v>0.82027274577651133</v>
      </c>
      <c r="O72" s="3"/>
    </row>
    <row r="73" spans="1:15" ht="15" thickBot="1" x14ac:dyDescent="0.35">
      <c r="A73" s="18">
        <v>42887</v>
      </c>
      <c r="B73" s="402">
        <v>42896</v>
      </c>
      <c r="C73" s="17" t="s">
        <v>3</v>
      </c>
      <c r="D73" s="63" t="s">
        <v>92</v>
      </c>
      <c r="E73" s="408" t="s">
        <v>1068</v>
      </c>
      <c r="F73" s="3" t="s">
        <v>264</v>
      </c>
      <c r="G73" s="3" t="s">
        <v>277</v>
      </c>
      <c r="H73" s="385">
        <v>2.9</v>
      </c>
      <c r="I73" s="385">
        <v>2.5</v>
      </c>
      <c r="J73" s="386">
        <v>0.15090000000000001</v>
      </c>
      <c r="K73" s="385"/>
      <c r="L73" s="3">
        <v>14.6</v>
      </c>
      <c r="M73" s="3">
        <v>119.4</v>
      </c>
      <c r="N73" s="61">
        <f t="shared" si="1"/>
        <v>0.6187215547992948</v>
      </c>
      <c r="O73" s="3"/>
    </row>
    <row r="74" spans="1:15" ht="15" thickBot="1" x14ac:dyDescent="0.35">
      <c r="A74" s="18">
        <v>42887</v>
      </c>
      <c r="B74" s="402">
        <v>42896</v>
      </c>
      <c r="C74" s="17" t="s">
        <v>3</v>
      </c>
      <c r="D74" s="63" t="s">
        <v>92</v>
      </c>
      <c r="E74" s="408" t="s">
        <v>1069</v>
      </c>
      <c r="F74" s="3" t="s">
        <v>264</v>
      </c>
      <c r="G74" s="3" t="s">
        <v>277</v>
      </c>
      <c r="H74" s="385">
        <v>3.1</v>
      </c>
      <c r="I74" s="385">
        <v>2.9</v>
      </c>
      <c r="J74" s="386">
        <v>0.2397</v>
      </c>
      <c r="K74" s="385"/>
      <c r="L74" s="3">
        <v>25.6</v>
      </c>
      <c r="M74" s="3">
        <v>108.3</v>
      </c>
      <c r="N74" s="61">
        <f t="shared" si="1"/>
        <v>0.80460541774361372</v>
      </c>
      <c r="O74" s="3"/>
    </row>
    <row r="75" spans="1:15" ht="15" thickBot="1" x14ac:dyDescent="0.35">
      <c r="A75" s="18">
        <v>42887</v>
      </c>
      <c r="B75" s="402">
        <v>42896</v>
      </c>
      <c r="C75" s="17" t="s">
        <v>3</v>
      </c>
      <c r="D75" s="63" t="s">
        <v>92</v>
      </c>
      <c r="E75" s="408" t="s">
        <v>1070</v>
      </c>
      <c r="F75" s="3" t="s">
        <v>264</v>
      </c>
      <c r="G75" s="3" t="s">
        <v>277</v>
      </c>
      <c r="H75" s="385">
        <v>4</v>
      </c>
      <c r="I75" s="385">
        <v>3.6</v>
      </c>
      <c r="J75" s="386">
        <v>0.40250000000000002</v>
      </c>
      <c r="K75" s="385"/>
      <c r="L75" s="3">
        <v>33.1</v>
      </c>
      <c r="M75" s="3">
        <v>344.9</v>
      </c>
      <c r="N75" s="61">
        <f t="shared" si="1"/>
        <v>0.62890625</v>
      </c>
      <c r="O75" s="3"/>
    </row>
    <row r="76" spans="1:15" ht="15" thickBot="1" x14ac:dyDescent="0.35">
      <c r="A76" s="18">
        <v>42887</v>
      </c>
      <c r="B76" s="402">
        <v>42896</v>
      </c>
      <c r="C76" s="17" t="s">
        <v>3</v>
      </c>
      <c r="D76" s="63" t="s">
        <v>92</v>
      </c>
      <c r="E76" s="408" t="s">
        <v>1071</v>
      </c>
      <c r="F76" s="3" t="s">
        <v>264</v>
      </c>
      <c r="G76" s="3" t="s">
        <v>277</v>
      </c>
      <c r="H76" s="385">
        <v>3.5</v>
      </c>
      <c r="I76" s="385">
        <v>3.1</v>
      </c>
      <c r="J76" s="386">
        <v>0.38319999999999999</v>
      </c>
      <c r="K76" s="385"/>
      <c r="L76" s="3">
        <v>53.8</v>
      </c>
      <c r="M76" s="3">
        <v>308.5</v>
      </c>
      <c r="N76" s="61">
        <f t="shared" si="1"/>
        <v>0.89376093294460646</v>
      </c>
      <c r="O76" s="3"/>
    </row>
    <row r="77" spans="1:15" ht="15" thickBot="1" x14ac:dyDescent="0.35">
      <c r="A77" s="18">
        <v>42887</v>
      </c>
      <c r="B77" s="402">
        <v>42896</v>
      </c>
      <c r="C77" s="17" t="s">
        <v>3</v>
      </c>
      <c r="D77" s="63" t="s">
        <v>92</v>
      </c>
      <c r="E77" s="408" t="s">
        <v>1072</v>
      </c>
      <c r="F77" s="3" t="s">
        <v>264</v>
      </c>
      <c r="G77" s="3" t="s">
        <v>277</v>
      </c>
      <c r="H77" s="385">
        <v>3.3</v>
      </c>
      <c r="I77" s="385">
        <v>3</v>
      </c>
      <c r="J77" s="386">
        <v>0.26230000000000003</v>
      </c>
      <c r="K77" s="385"/>
      <c r="L77" s="3">
        <v>20.6</v>
      </c>
      <c r="M77" s="3">
        <v>218.1</v>
      </c>
      <c r="N77" s="61">
        <f t="shared" si="1"/>
        <v>0.72988841583882924</v>
      </c>
      <c r="O77" s="3"/>
    </row>
    <row r="78" spans="1:15" ht="15" thickBot="1" x14ac:dyDescent="0.35">
      <c r="A78" s="18">
        <v>42887</v>
      </c>
      <c r="B78" s="402">
        <v>42896</v>
      </c>
      <c r="C78" s="17" t="s">
        <v>3</v>
      </c>
      <c r="D78" s="63" t="s">
        <v>92</v>
      </c>
      <c r="E78" s="408" t="s">
        <v>1073</v>
      </c>
      <c r="F78" s="3" t="s">
        <v>264</v>
      </c>
      <c r="G78" s="3" t="s">
        <v>277</v>
      </c>
      <c r="H78" s="385">
        <v>2.6</v>
      </c>
      <c r="I78" s="385">
        <v>2.4</v>
      </c>
      <c r="J78" s="386">
        <v>0.1439</v>
      </c>
      <c r="K78" s="385"/>
      <c r="L78" s="3">
        <v>21.3</v>
      </c>
      <c r="M78" s="3">
        <v>111.2</v>
      </c>
      <c r="N78" s="61">
        <f t="shared" si="1"/>
        <v>0.81873008648156564</v>
      </c>
      <c r="O78" s="3"/>
    </row>
    <row r="79" spans="1:15" ht="15" thickBot="1" x14ac:dyDescent="0.35">
      <c r="A79" s="18">
        <v>42887</v>
      </c>
      <c r="B79" s="402">
        <v>42896</v>
      </c>
      <c r="C79" s="17" t="s">
        <v>3</v>
      </c>
      <c r="D79" s="63" t="s">
        <v>92</v>
      </c>
      <c r="E79" s="408" t="s">
        <v>1074</v>
      </c>
      <c r="F79" s="3" t="s">
        <v>264</v>
      </c>
      <c r="G79" s="3" t="s">
        <v>277</v>
      </c>
      <c r="H79" s="385">
        <v>3.3</v>
      </c>
      <c r="I79" s="385">
        <v>3</v>
      </c>
      <c r="J79" s="386">
        <v>0.26830000000000004</v>
      </c>
      <c r="K79" s="385">
        <v>1.5</v>
      </c>
      <c r="L79" s="3">
        <v>17.899999999999999</v>
      </c>
      <c r="M79" s="3">
        <v>223.6</v>
      </c>
      <c r="N79" s="61">
        <f t="shared" si="1"/>
        <v>0.7465843003033088</v>
      </c>
      <c r="O79" s="3"/>
    </row>
    <row r="80" spans="1:15" ht="15" thickBot="1" x14ac:dyDescent="0.35">
      <c r="A80" s="18">
        <v>42887</v>
      </c>
      <c r="B80" s="402">
        <v>42900</v>
      </c>
      <c r="C80" s="17" t="s">
        <v>3</v>
      </c>
      <c r="D80" s="63" t="s">
        <v>92</v>
      </c>
      <c r="E80" s="408" t="s">
        <v>1075</v>
      </c>
      <c r="F80" s="3" t="s">
        <v>265</v>
      </c>
      <c r="G80" s="3" t="s">
        <v>277</v>
      </c>
      <c r="H80" s="385">
        <v>3.4</v>
      </c>
      <c r="I80" s="385">
        <v>2.9</v>
      </c>
      <c r="J80" s="386">
        <v>0.28370000000000001</v>
      </c>
      <c r="K80" s="385"/>
      <c r="L80" s="3">
        <v>17.600000000000001</v>
      </c>
      <c r="M80" s="3">
        <v>235.4</v>
      </c>
      <c r="N80" s="61">
        <f t="shared" si="1"/>
        <v>0.72180948503969078</v>
      </c>
      <c r="O80" s="3"/>
    </row>
    <row r="81" spans="1:16" ht="15" thickBot="1" x14ac:dyDescent="0.35">
      <c r="A81" s="18">
        <v>42887</v>
      </c>
      <c r="B81" s="402">
        <v>42900</v>
      </c>
      <c r="C81" s="17" t="s">
        <v>3</v>
      </c>
      <c r="D81" s="63" t="s">
        <v>92</v>
      </c>
      <c r="E81" s="408" t="s">
        <v>1076</v>
      </c>
      <c r="F81" s="3" t="s">
        <v>265</v>
      </c>
      <c r="G81" s="3" t="s">
        <v>277</v>
      </c>
      <c r="H81" s="385">
        <v>1.9</v>
      </c>
      <c r="I81" s="385">
        <v>1.7</v>
      </c>
      <c r="J81" s="386">
        <v>5.2499999999999998E-2</v>
      </c>
      <c r="K81" s="385"/>
      <c r="L81" s="3"/>
      <c r="M81" s="3"/>
      <c r="N81" s="61">
        <f t="shared" si="1"/>
        <v>0.76541769937308657</v>
      </c>
      <c r="O81" s="3"/>
    </row>
    <row r="82" spans="1:16" ht="15" thickBot="1" x14ac:dyDescent="0.35">
      <c r="A82" s="18">
        <v>42887</v>
      </c>
      <c r="B82" s="402">
        <v>42900</v>
      </c>
      <c r="C82" s="17" t="s">
        <v>3</v>
      </c>
      <c r="D82" s="63" t="s">
        <v>92</v>
      </c>
      <c r="E82" s="408" t="s">
        <v>1077</v>
      </c>
      <c r="F82" s="3" t="s">
        <v>265</v>
      </c>
      <c r="G82" s="3" t="s">
        <v>277</v>
      </c>
      <c r="H82" s="385">
        <v>4.5</v>
      </c>
      <c r="I82" s="385">
        <v>4.2</v>
      </c>
      <c r="J82" s="386">
        <v>0.87</v>
      </c>
      <c r="K82" s="385">
        <v>5.5</v>
      </c>
      <c r="L82" s="3">
        <v>90.4</v>
      </c>
      <c r="M82" s="3">
        <v>716.3</v>
      </c>
      <c r="N82" s="61">
        <f t="shared" si="1"/>
        <v>0.95473251028806583</v>
      </c>
      <c r="O82" s="3"/>
    </row>
    <row r="83" spans="1:16" ht="15" thickBot="1" x14ac:dyDescent="0.35">
      <c r="A83" s="18">
        <v>42887</v>
      </c>
      <c r="B83" s="402">
        <v>42900</v>
      </c>
      <c r="C83" s="17" t="s">
        <v>3</v>
      </c>
      <c r="D83" s="63" t="s">
        <v>92</v>
      </c>
      <c r="E83" s="408" t="s">
        <v>1078</v>
      </c>
      <c r="F83" s="3" t="s">
        <v>265</v>
      </c>
      <c r="G83" s="3" t="s">
        <v>277</v>
      </c>
      <c r="H83" s="385">
        <v>4</v>
      </c>
      <c r="I83" s="385">
        <v>3.6</v>
      </c>
      <c r="J83" s="386">
        <v>0.42849999999999999</v>
      </c>
      <c r="K83" s="385">
        <v>7.1</v>
      </c>
      <c r="L83" s="3">
        <v>16.600000000000001</v>
      </c>
      <c r="M83" s="3">
        <v>354.4</v>
      </c>
      <c r="N83" s="61">
        <f t="shared" si="1"/>
        <v>0.66953125000000002</v>
      </c>
      <c r="O83" s="3"/>
    </row>
    <row r="84" spans="1:16" ht="15" thickBot="1" x14ac:dyDescent="0.35">
      <c r="A84" s="18">
        <v>42887</v>
      </c>
      <c r="B84" s="402">
        <v>42900</v>
      </c>
      <c r="C84" s="17" t="s">
        <v>3</v>
      </c>
      <c r="D84" s="63" t="s">
        <v>92</v>
      </c>
      <c r="E84" s="408" t="s">
        <v>1079</v>
      </c>
      <c r="F84" s="3" t="s">
        <v>265</v>
      </c>
      <c r="G84" s="3" t="s">
        <v>277</v>
      </c>
      <c r="H84" s="385">
        <v>4.9000000000000004</v>
      </c>
      <c r="I84" s="385">
        <v>4.5</v>
      </c>
      <c r="J84" s="386">
        <v>0.90360000000000007</v>
      </c>
      <c r="K84" s="385">
        <v>13.2</v>
      </c>
      <c r="L84" s="3">
        <v>114.9</v>
      </c>
      <c r="M84" s="3">
        <v>729.2</v>
      </c>
      <c r="N84" s="61">
        <f t="shared" si="1"/>
        <v>0.76804732721910085</v>
      </c>
      <c r="O84" s="3"/>
    </row>
    <row r="85" spans="1:16" ht="15" thickBot="1" x14ac:dyDescent="0.35">
      <c r="A85" s="18">
        <v>42887</v>
      </c>
      <c r="B85" s="402">
        <v>42900</v>
      </c>
      <c r="C85" s="17" t="s">
        <v>3</v>
      </c>
      <c r="D85" s="63" t="s">
        <v>92</v>
      </c>
      <c r="E85" s="408" t="s">
        <v>1080</v>
      </c>
      <c r="F85" s="3" t="s">
        <v>265</v>
      </c>
      <c r="G85" s="3" t="s">
        <v>277</v>
      </c>
      <c r="H85" s="385">
        <v>4</v>
      </c>
      <c r="I85" s="385">
        <v>3.5</v>
      </c>
      <c r="J85" s="386">
        <v>0.39369999999999999</v>
      </c>
      <c r="K85" s="385">
        <v>5.3</v>
      </c>
      <c r="L85" s="3">
        <v>37.200000000000003</v>
      </c>
      <c r="M85" s="3">
        <v>316.8</v>
      </c>
      <c r="N85" s="61">
        <f t="shared" si="1"/>
        <v>0.61515624999999996</v>
      </c>
      <c r="O85" s="3"/>
    </row>
    <row r="86" spans="1:16" ht="15" thickBot="1" x14ac:dyDescent="0.35">
      <c r="A86" s="18">
        <v>42887</v>
      </c>
      <c r="B86" s="402">
        <v>42900</v>
      </c>
      <c r="C86" s="17" t="s">
        <v>3</v>
      </c>
      <c r="D86" s="63" t="s">
        <v>92</v>
      </c>
      <c r="E86" s="408" t="s">
        <v>1081</v>
      </c>
      <c r="F86" s="3" t="s">
        <v>265</v>
      </c>
      <c r="G86" s="3" t="s">
        <v>277</v>
      </c>
      <c r="H86" s="385">
        <v>3.9</v>
      </c>
      <c r="I86" s="385">
        <v>3.5</v>
      </c>
      <c r="J86" s="386">
        <v>0.18730000000000002</v>
      </c>
      <c r="K86" s="385"/>
      <c r="L86" s="3">
        <v>14.9</v>
      </c>
      <c r="M86" s="3">
        <v>148.30000000000001</v>
      </c>
      <c r="N86" s="61">
        <f t="shared" si="1"/>
        <v>0.31575043409362946</v>
      </c>
      <c r="O86" s="3"/>
    </row>
    <row r="87" spans="1:16" ht="15" thickBot="1" x14ac:dyDescent="0.35">
      <c r="A87" s="18">
        <v>42887</v>
      </c>
      <c r="B87" s="402">
        <v>42900</v>
      </c>
      <c r="C87" s="17" t="s">
        <v>3</v>
      </c>
      <c r="D87" s="63" t="s">
        <v>92</v>
      </c>
      <c r="E87" s="408" t="s">
        <v>1082</v>
      </c>
      <c r="F87" s="3" t="s">
        <v>265</v>
      </c>
      <c r="G87" s="3" t="s">
        <v>277</v>
      </c>
      <c r="H87" s="385">
        <v>2.6</v>
      </c>
      <c r="I87" s="385">
        <v>2.4</v>
      </c>
      <c r="J87" s="386">
        <v>0.14660000000000001</v>
      </c>
      <c r="K87" s="385"/>
      <c r="L87" s="3">
        <v>7.7</v>
      </c>
      <c r="M87" s="3">
        <v>108.4</v>
      </c>
      <c r="N87" s="61">
        <f t="shared" si="1"/>
        <v>0.83409194355939897</v>
      </c>
      <c r="O87" s="3"/>
    </row>
    <row r="88" spans="1:16" ht="15" thickBot="1" x14ac:dyDescent="0.35">
      <c r="A88" s="18">
        <v>42887</v>
      </c>
      <c r="B88" s="402">
        <v>42900</v>
      </c>
      <c r="C88" s="17" t="s">
        <v>3</v>
      </c>
      <c r="D88" s="63" t="s">
        <v>92</v>
      </c>
      <c r="E88" s="408" t="s">
        <v>1083</v>
      </c>
      <c r="F88" s="3" t="s">
        <v>265</v>
      </c>
      <c r="G88" s="3" t="s">
        <v>277</v>
      </c>
      <c r="H88" s="385">
        <v>2.4</v>
      </c>
      <c r="I88" s="385">
        <v>2.2000000000000002</v>
      </c>
      <c r="J88" s="386">
        <v>0.12240000000000001</v>
      </c>
      <c r="K88" s="385"/>
      <c r="L88" s="3"/>
      <c r="M88" s="3"/>
      <c r="N88" s="61">
        <f t="shared" si="1"/>
        <v>0.88541666666666674</v>
      </c>
      <c r="O88" s="3"/>
    </row>
    <row r="89" spans="1:16" ht="15" thickBot="1" x14ac:dyDescent="0.35">
      <c r="A89" s="18">
        <v>42887</v>
      </c>
      <c r="B89" s="402">
        <v>42900</v>
      </c>
      <c r="C89" s="17" t="s">
        <v>3</v>
      </c>
      <c r="D89" s="63" t="s">
        <v>92</v>
      </c>
      <c r="E89" s="408" t="s">
        <v>1084</v>
      </c>
      <c r="F89" s="3" t="s">
        <v>265</v>
      </c>
      <c r="G89" s="3" t="s">
        <v>277</v>
      </c>
      <c r="H89" s="385">
        <v>3.5</v>
      </c>
      <c r="I89" s="385">
        <v>3</v>
      </c>
      <c r="J89" s="386">
        <v>0.29760000000000003</v>
      </c>
      <c r="K89" s="385"/>
      <c r="L89" s="3">
        <v>25.3</v>
      </c>
      <c r="M89" s="3">
        <v>230.2</v>
      </c>
      <c r="N89" s="61">
        <f t="shared" si="1"/>
        <v>0.69411078717201169</v>
      </c>
      <c r="O89" s="3"/>
    </row>
    <row r="90" spans="1:16" ht="15" thickBot="1" x14ac:dyDescent="0.35">
      <c r="A90" s="18">
        <v>42887</v>
      </c>
      <c r="B90" s="402">
        <v>42900</v>
      </c>
      <c r="C90" s="17" t="s">
        <v>3</v>
      </c>
      <c r="D90" s="63" t="s">
        <v>92</v>
      </c>
      <c r="E90" s="408" t="s">
        <v>1085</v>
      </c>
      <c r="F90" s="3" t="s">
        <v>265</v>
      </c>
      <c r="G90" s="3" t="s">
        <v>277</v>
      </c>
      <c r="H90" s="385">
        <v>2.8</v>
      </c>
      <c r="I90" s="385">
        <v>2.5</v>
      </c>
      <c r="J90" s="386">
        <v>0.17430000000000001</v>
      </c>
      <c r="K90" s="385"/>
      <c r="L90" s="3">
        <v>10.5</v>
      </c>
      <c r="M90" s="3">
        <v>138.30000000000001</v>
      </c>
      <c r="N90" s="61">
        <f t="shared" si="1"/>
        <v>0.79400510204081653</v>
      </c>
      <c r="O90" s="3"/>
    </row>
    <row r="91" spans="1:16" ht="15" thickBot="1" x14ac:dyDescent="0.35">
      <c r="A91" s="18">
        <v>42887</v>
      </c>
      <c r="B91" s="402">
        <v>42900</v>
      </c>
      <c r="C91" s="17" t="s">
        <v>3</v>
      </c>
      <c r="D91" s="63" t="s">
        <v>92</v>
      </c>
      <c r="E91" s="408" t="s">
        <v>1086</v>
      </c>
      <c r="F91" s="3" t="s">
        <v>265</v>
      </c>
      <c r="G91" s="3" t="s">
        <v>277</v>
      </c>
      <c r="H91" s="385">
        <v>3.6</v>
      </c>
      <c r="I91" s="385">
        <v>3.4</v>
      </c>
      <c r="J91" s="386">
        <v>0.3674</v>
      </c>
      <c r="K91" s="385">
        <v>5.7</v>
      </c>
      <c r="L91" s="3">
        <v>28.9</v>
      </c>
      <c r="M91" s="3">
        <v>282.8</v>
      </c>
      <c r="N91" s="61">
        <f t="shared" si="1"/>
        <v>0.78746570644718783</v>
      </c>
      <c r="O91" s="3"/>
    </row>
    <row r="92" spans="1:16" ht="15" thickBot="1" x14ac:dyDescent="0.35">
      <c r="A92" s="18">
        <v>42887</v>
      </c>
      <c r="B92" s="402">
        <v>42900</v>
      </c>
      <c r="C92" s="17" t="s">
        <v>3</v>
      </c>
      <c r="D92" s="63" t="s">
        <v>92</v>
      </c>
      <c r="E92" s="408" t="s">
        <v>1087</v>
      </c>
      <c r="F92" s="3" t="s">
        <v>265</v>
      </c>
      <c r="G92" s="3" t="s">
        <v>277</v>
      </c>
      <c r="H92" s="385">
        <v>3</v>
      </c>
      <c r="I92" s="385">
        <v>2.8</v>
      </c>
      <c r="J92" s="386">
        <v>0.2109</v>
      </c>
      <c r="K92" s="385"/>
      <c r="L92" s="3">
        <v>16.100000000000001</v>
      </c>
      <c r="M92" s="3">
        <v>177.7</v>
      </c>
      <c r="N92" s="61">
        <f t="shared" si="1"/>
        <v>0.78111111111111109</v>
      </c>
      <c r="O92" s="3"/>
    </row>
    <row r="93" spans="1:16" ht="15" thickBot="1" x14ac:dyDescent="0.35">
      <c r="A93" s="18">
        <v>42887</v>
      </c>
      <c r="B93" s="402">
        <v>42900</v>
      </c>
      <c r="C93" s="17" t="s">
        <v>3</v>
      </c>
      <c r="D93" s="63" t="s">
        <v>92</v>
      </c>
      <c r="E93" s="408" t="s">
        <v>1088</v>
      </c>
      <c r="F93" s="3" t="s">
        <v>265</v>
      </c>
      <c r="G93" s="3" t="s">
        <v>277</v>
      </c>
      <c r="H93" s="385">
        <v>3.3</v>
      </c>
      <c r="I93" s="385">
        <v>3</v>
      </c>
      <c r="J93" s="386">
        <v>0.31460000000000005</v>
      </c>
      <c r="K93" s="385"/>
      <c r="L93" s="3">
        <v>39.1</v>
      </c>
      <c r="M93" s="3">
        <v>248.7</v>
      </c>
      <c r="N93" s="61">
        <f t="shared" si="1"/>
        <v>0.87542087542087565</v>
      </c>
      <c r="O93" s="3"/>
    </row>
    <row r="94" spans="1:16" s="48" customFormat="1" ht="15" thickBot="1" x14ac:dyDescent="0.35">
      <c r="A94" s="68">
        <v>42887</v>
      </c>
      <c r="B94" s="402">
        <v>42900</v>
      </c>
      <c r="C94" s="67" t="s">
        <v>3</v>
      </c>
      <c r="D94" s="63" t="s">
        <v>92</v>
      </c>
      <c r="E94" s="408" t="s">
        <v>1089</v>
      </c>
      <c r="F94" s="69" t="s">
        <v>265</v>
      </c>
      <c r="G94" s="69" t="s">
        <v>277</v>
      </c>
      <c r="H94" s="388">
        <v>3.5</v>
      </c>
      <c r="I94" s="388">
        <v>3.1</v>
      </c>
      <c r="J94" s="389">
        <v>0.34250000000000003</v>
      </c>
      <c r="K94" s="388">
        <v>2.8</v>
      </c>
      <c r="L94" s="69">
        <v>17.100000000000001</v>
      </c>
      <c r="M94" s="69">
        <v>276.3</v>
      </c>
      <c r="N94" s="61">
        <f t="shared" si="1"/>
        <v>0.79883381924198249</v>
      </c>
      <c r="O94" s="69"/>
      <c r="P94"/>
    </row>
    <row r="95" spans="1:16" s="37" customFormat="1" ht="15" thickBot="1" x14ac:dyDescent="0.35">
      <c r="A95" s="18">
        <v>42887</v>
      </c>
      <c r="B95" s="402">
        <v>42896</v>
      </c>
      <c r="C95" s="17" t="s">
        <v>13</v>
      </c>
      <c r="D95" s="31" t="s">
        <v>208</v>
      </c>
      <c r="E95" s="408" t="s">
        <v>1090</v>
      </c>
      <c r="F95" s="3" t="s">
        <v>271</v>
      </c>
      <c r="G95" s="3" t="s">
        <v>277</v>
      </c>
      <c r="H95" s="385">
        <v>3</v>
      </c>
      <c r="I95" s="385">
        <v>2.5</v>
      </c>
      <c r="J95" s="386">
        <v>0.18559999999999999</v>
      </c>
      <c r="K95" s="385"/>
      <c r="L95" s="3">
        <v>9.9</v>
      </c>
      <c r="M95" s="3">
        <v>161.6</v>
      </c>
      <c r="N95" s="61">
        <f t="shared" si="1"/>
        <v>0.68740740740740736</v>
      </c>
      <c r="O95" s="3"/>
      <c r="P95"/>
    </row>
    <row r="96" spans="1:16" s="37" customFormat="1" ht="15" thickBot="1" x14ac:dyDescent="0.35">
      <c r="A96" s="18">
        <v>42887</v>
      </c>
      <c r="B96" s="402">
        <v>42896</v>
      </c>
      <c r="C96" s="17" t="s">
        <v>13</v>
      </c>
      <c r="D96" s="31" t="s">
        <v>208</v>
      </c>
      <c r="E96" s="408" t="s">
        <v>1091</v>
      </c>
      <c r="F96" s="3" t="s">
        <v>271</v>
      </c>
      <c r="G96" s="3" t="s">
        <v>277</v>
      </c>
      <c r="H96" s="385">
        <v>3.3</v>
      </c>
      <c r="I96" s="385">
        <v>2.9</v>
      </c>
      <c r="J96" s="386">
        <v>0.19690000000000002</v>
      </c>
      <c r="K96" s="385"/>
      <c r="L96" s="3">
        <v>14.4</v>
      </c>
      <c r="M96" s="3">
        <v>171.5</v>
      </c>
      <c r="N96" s="61">
        <f t="shared" si="1"/>
        <v>0.54790327517600257</v>
      </c>
      <c r="O96" s="3"/>
      <c r="P96"/>
    </row>
    <row r="97" spans="1:16" s="37" customFormat="1" ht="15" thickBot="1" x14ac:dyDescent="0.35">
      <c r="A97" s="18">
        <v>42887</v>
      </c>
      <c r="B97" s="402">
        <v>42896</v>
      </c>
      <c r="C97" s="17" t="s">
        <v>13</v>
      </c>
      <c r="D97" s="31" t="s">
        <v>208</v>
      </c>
      <c r="E97" s="408" t="s">
        <v>1092</v>
      </c>
      <c r="F97" s="3" t="s">
        <v>271</v>
      </c>
      <c r="G97" s="3" t="s">
        <v>277</v>
      </c>
      <c r="H97" s="385">
        <v>3.7</v>
      </c>
      <c r="I97" s="385">
        <v>3.4</v>
      </c>
      <c r="J97" s="386">
        <v>0.29519999999999996</v>
      </c>
      <c r="K97" s="385"/>
      <c r="L97" s="3">
        <v>14.3</v>
      </c>
      <c r="M97" s="3">
        <v>256.5</v>
      </c>
      <c r="N97" s="61">
        <f t="shared" si="1"/>
        <v>0.58278877855210931</v>
      </c>
      <c r="O97" s="3"/>
      <c r="P97"/>
    </row>
    <row r="98" spans="1:16" s="37" customFormat="1" ht="15" thickBot="1" x14ac:dyDescent="0.35">
      <c r="A98" s="18">
        <v>42887</v>
      </c>
      <c r="B98" s="402">
        <v>42896</v>
      </c>
      <c r="C98" s="17" t="s">
        <v>13</v>
      </c>
      <c r="D98" s="31" t="s">
        <v>208</v>
      </c>
      <c r="E98" s="408" t="s">
        <v>1093</v>
      </c>
      <c r="F98" s="3" t="s">
        <v>272</v>
      </c>
      <c r="G98" s="3" t="s">
        <v>277</v>
      </c>
      <c r="H98" s="385">
        <v>2.7</v>
      </c>
      <c r="I98" s="385">
        <v>2.5</v>
      </c>
      <c r="J98" s="386">
        <v>0.16090000000000002</v>
      </c>
      <c r="K98" s="385"/>
      <c r="L98" s="3">
        <v>5.0999999999999996</v>
      </c>
      <c r="M98" s="3">
        <v>120.5</v>
      </c>
      <c r="N98" s="61">
        <f t="shared" si="1"/>
        <v>0.81745668851292974</v>
      </c>
      <c r="O98" s="3"/>
      <c r="P98"/>
    </row>
    <row r="99" spans="1:16" s="37" customFormat="1" ht="15" thickBot="1" x14ac:dyDescent="0.35">
      <c r="A99" s="18">
        <v>42887</v>
      </c>
      <c r="B99" s="402">
        <v>42896</v>
      </c>
      <c r="C99" s="17" t="s">
        <v>13</v>
      </c>
      <c r="D99" s="31" t="s">
        <v>208</v>
      </c>
      <c r="E99" s="408" t="s">
        <v>1094</v>
      </c>
      <c r="F99" s="3" t="s">
        <v>272</v>
      </c>
      <c r="G99" s="3" t="s">
        <v>277</v>
      </c>
      <c r="H99" s="385">
        <v>2.2000000000000002</v>
      </c>
      <c r="I99" s="385">
        <v>2</v>
      </c>
      <c r="J99" s="386">
        <v>0.1008</v>
      </c>
      <c r="K99" s="385"/>
      <c r="L99" s="3"/>
      <c r="M99" s="3"/>
      <c r="N99" s="61">
        <f t="shared" si="1"/>
        <v>0.94665664913598768</v>
      </c>
      <c r="O99" s="3"/>
      <c r="P99"/>
    </row>
    <row r="100" spans="1:16" s="37" customFormat="1" ht="15" thickBot="1" x14ac:dyDescent="0.35">
      <c r="A100" s="18">
        <v>42887</v>
      </c>
      <c r="B100" s="402">
        <v>42896</v>
      </c>
      <c r="C100" s="17" t="s">
        <v>13</v>
      </c>
      <c r="D100" s="31" t="s">
        <v>208</v>
      </c>
      <c r="E100" s="408" t="s">
        <v>1095</v>
      </c>
      <c r="F100" s="3" t="s">
        <v>272</v>
      </c>
      <c r="G100" s="3" t="s">
        <v>277</v>
      </c>
      <c r="H100" s="385">
        <v>2.7</v>
      </c>
      <c r="I100" s="385">
        <v>2.4</v>
      </c>
      <c r="J100" s="386">
        <v>0.16450000000000001</v>
      </c>
      <c r="K100" s="385">
        <v>2.9</v>
      </c>
      <c r="L100" s="3">
        <v>9.6</v>
      </c>
      <c r="M100" s="3">
        <v>124.9</v>
      </c>
      <c r="N100" s="61">
        <f t="shared" si="1"/>
        <v>0.83574658334603447</v>
      </c>
      <c r="O100" s="3"/>
      <c r="P100"/>
    </row>
    <row r="101" spans="1:16" s="37" customFormat="1" ht="15" thickBot="1" x14ac:dyDescent="0.35">
      <c r="A101" s="18">
        <v>42887</v>
      </c>
      <c r="B101" s="402">
        <v>42896</v>
      </c>
      <c r="C101" s="17" t="s">
        <v>13</v>
      </c>
      <c r="D101" s="31" t="s">
        <v>208</v>
      </c>
      <c r="E101" s="408" t="s">
        <v>1096</v>
      </c>
      <c r="F101" s="3" t="s">
        <v>272</v>
      </c>
      <c r="G101" s="3" t="s">
        <v>277</v>
      </c>
      <c r="H101" s="385">
        <v>2.4</v>
      </c>
      <c r="I101" s="385">
        <v>2.1</v>
      </c>
      <c r="J101" s="386">
        <v>9.8900000000000002E-2</v>
      </c>
      <c r="K101" s="385"/>
      <c r="L101" s="3"/>
      <c r="M101" s="3"/>
      <c r="N101" s="61">
        <f t="shared" si="1"/>
        <v>0.71542245370370372</v>
      </c>
      <c r="O101" s="3"/>
      <c r="P101"/>
    </row>
    <row r="102" spans="1:16" s="37" customFormat="1" ht="15" thickBot="1" x14ac:dyDescent="0.35">
      <c r="A102" s="18">
        <v>42887</v>
      </c>
      <c r="B102" s="402">
        <v>42896</v>
      </c>
      <c r="C102" s="17" t="s">
        <v>13</v>
      </c>
      <c r="D102" s="31" t="s">
        <v>208</v>
      </c>
      <c r="E102" s="408" t="s">
        <v>1097</v>
      </c>
      <c r="F102" s="3" t="s">
        <v>272</v>
      </c>
      <c r="G102" s="3" t="s">
        <v>277</v>
      </c>
      <c r="H102" s="385">
        <v>2.7</v>
      </c>
      <c r="I102" s="385">
        <v>2.4</v>
      </c>
      <c r="J102" s="386">
        <v>0.14180000000000001</v>
      </c>
      <c r="K102" s="385"/>
      <c r="L102" s="3">
        <v>18.7</v>
      </c>
      <c r="M102" s="3">
        <v>111</v>
      </c>
      <c r="N102" s="61">
        <f t="shared" si="1"/>
        <v>0.72041863537062434</v>
      </c>
      <c r="O102" s="3"/>
      <c r="P102"/>
    </row>
    <row r="103" spans="1:16" s="37" customFormat="1" ht="15" thickBot="1" x14ac:dyDescent="0.35">
      <c r="A103" s="18">
        <v>42887</v>
      </c>
      <c r="B103" s="402">
        <v>42896</v>
      </c>
      <c r="C103" s="17" t="s">
        <v>13</v>
      </c>
      <c r="D103" s="31" t="s">
        <v>208</v>
      </c>
      <c r="E103" s="408" t="s">
        <v>1098</v>
      </c>
      <c r="F103" s="3" t="s">
        <v>272</v>
      </c>
      <c r="G103" s="3" t="s">
        <v>277</v>
      </c>
      <c r="H103" s="385">
        <v>2.4</v>
      </c>
      <c r="I103" s="385">
        <v>2.9</v>
      </c>
      <c r="J103" s="386">
        <v>0.28199999999999997</v>
      </c>
      <c r="K103" s="385">
        <v>1.1000000000000001</v>
      </c>
      <c r="L103" s="3">
        <v>14.8</v>
      </c>
      <c r="M103" s="3">
        <v>241.1</v>
      </c>
      <c r="N103" s="61">
        <f t="shared" si="1"/>
        <v>2.0399305555555554</v>
      </c>
      <c r="O103" s="3"/>
      <c r="P103"/>
    </row>
    <row r="104" spans="1:16" s="37" customFormat="1" ht="15" thickBot="1" x14ac:dyDescent="0.35">
      <c r="A104" s="18">
        <v>42887</v>
      </c>
      <c r="B104" s="402">
        <v>42896</v>
      </c>
      <c r="C104" s="17" t="s">
        <v>13</v>
      </c>
      <c r="D104" s="31" t="s">
        <v>208</v>
      </c>
      <c r="E104" s="408" t="s">
        <v>1099</v>
      </c>
      <c r="F104" s="3" t="s">
        <v>273</v>
      </c>
      <c r="G104" s="3" t="s">
        <v>277</v>
      </c>
      <c r="H104" s="385">
        <v>3.6</v>
      </c>
      <c r="I104" s="385">
        <v>3.1</v>
      </c>
      <c r="J104" s="386">
        <v>0.30969999999999998</v>
      </c>
      <c r="K104" s="385">
        <v>2</v>
      </c>
      <c r="L104" s="3">
        <v>32.700000000000003</v>
      </c>
      <c r="M104" s="3">
        <v>247.9</v>
      </c>
      <c r="N104" s="61">
        <f t="shared" si="1"/>
        <v>0.66379458161865557</v>
      </c>
      <c r="O104" s="3"/>
      <c r="P104"/>
    </row>
    <row r="105" spans="1:16" s="37" customFormat="1" ht="15" thickBot="1" x14ac:dyDescent="0.35">
      <c r="A105" s="18">
        <v>42887</v>
      </c>
      <c r="B105" s="402">
        <v>42896</v>
      </c>
      <c r="C105" s="17" t="s">
        <v>13</v>
      </c>
      <c r="D105" s="31" t="s">
        <v>208</v>
      </c>
      <c r="E105" s="408" t="s">
        <v>1100</v>
      </c>
      <c r="F105" s="3" t="s">
        <v>273</v>
      </c>
      <c r="G105" s="3" t="s">
        <v>277</v>
      </c>
      <c r="H105" s="385">
        <v>3.4</v>
      </c>
      <c r="I105" s="385">
        <v>3</v>
      </c>
      <c r="J105" s="386">
        <v>0.25319999999999998</v>
      </c>
      <c r="K105" s="385"/>
      <c r="L105" s="3">
        <v>22.4</v>
      </c>
      <c r="M105" s="3">
        <v>206.2</v>
      </c>
      <c r="N105" s="61">
        <f t="shared" si="1"/>
        <v>0.64420924078974151</v>
      </c>
      <c r="O105" s="3"/>
      <c r="P105"/>
    </row>
    <row r="106" spans="1:16" s="37" customFormat="1" ht="15" thickBot="1" x14ac:dyDescent="0.35">
      <c r="A106" s="92">
        <v>42887</v>
      </c>
      <c r="B106" s="402">
        <v>42896</v>
      </c>
      <c r="C106" s="49" t="s">
        <v>13</v>
      </c>
      <c r="D106" s="32" t="s">
        <v>208</v>
      </c>
      <c r="E106" s="408" t="s">
        <v>1101</v>
      </c>
      <c r="F106" s="37" t="s">
        <v>273</v>
      </c>
      <c r="G106" s="37" t="s">
        <v>277</v>
      </c>
      <c r="H106" s="32">
        <v>3.5</v>
      </c>
      <c r="I106" s="32">
        <v>3.1</v>
      </c>
      <c r="J106" s="390">
        <v>0.29099999999999998</v>
      </c>
      <c r="K106" s="32"/>
      <c r="L106" s="37">
        <v>14.5</v>
      </c>
      <c r="M106" s="37">
        <v>240.4</v>
      </c>
      <c r="N106" s="61">
        <f t="shared" si="1"/>
        <v>0.67871720116618073</v>
      </c>
      <c r="P106"/>
    </row>
    <row r="107" spans="1:16" s="37" customFormat="1" ht="15" thickBot="1" x14ac:dyDescent="0.35">
      <c r="A107" s="87">
        <v>42887</v>
      </c>
      <c r="B107" s="402">
        <v>42900</v>
      </c>
      <c r="C107" s="88" t="s">
        <v>13</v>
      </c>
      <c r="D107" s="88" t="s">
        <v>208</v>
      </c>
      <c r="E107" s="408" t="s">
        <v>1102</v>
      </c>
      <c r="F107" s="6" t="s">
        <v>274</v>
      </c>
      <c r="G107" s="89" t="s">
        <v>278</v>
      </c>
      <c r="H107" s="13">
        <v>2.9</v>
      </c>
      <c r="I107" s="13">
        <v>2.6</v>
      </c>
      <c r="J107" s="147">
        <v>0.17069999999999999</v>
      </c>
      <c r="K107" s="391">
        <v>0.6</v>
      </c>
      <c r="L107" s="6">
        <v>15</v>
      </c>
      <c r="M107" s="6">
        <v>137</v>
      </c>
      <c r="N107" s="61">
        <f t="shared" si="1"/>
        <v>0.69990569519045476</v>
      </c>
      <c r="O107" s="547"/>
      <c r="P107"/>
    </row>
    <row r="108" spans="1:16" s="37" customFormat="1" ht="14.4" customHeight="1" thickBot="1" x14ac:dyDescent="0.35">
      <c r="A108" s="87">
        <v>42887</v>
      </c>
      <c r="B108" s="402">
        <v>42900</v>
      </c>
      <c r="C108" s="88" t="s">
        <v>13</v>
      </c>
      <c r="D108" s="88" t="s">
        <v>208</v>
      </c>
      <c r="E108" s="408" t="s">
        <v>1103</v>
      </c>
      <c r="F108" s="6" t="s">
        <v>274</v>
      </c>
      <c r="G108" s="89" t="s">
        <v>278</v>
      </c>
      <c r="H108" s="13">
        <v>3.8</v>
      </c>
      <c r="I108" s="13">
        <v>3.4</v>
      </c>
      <c r="J108" s="147">
        <v>0.40100000000000002</v>
      </c>
      <c r="K108" s="391">
        <v>7.6</v>
      </c>
      <c r="L108" s="6">
        <v>24.6</v>
      </c>
      <c r="M108" s="6">
        <v>346.7</v>
      </c>
      <c r="N108" s="61">
        <f t="shared" si="1"/>
        <v>0.73079166059192313</v>
      </c>
      <c r="O108" s="548"/>
      <c r="P108"/>
    </row>
    <row r="109" spans="1:16" s="37" customFormat="1" ht="15" thickBot="1" x14ac:dyDescent="0.35">
      <c r="A109" s="87">
        <v>42887</v>
      </c>
      <c r="B109" s="402">
        <v>42900</v>
      </c>
      <c r="C109" s="88" t="s">
        <v>13</v>
      </c>
      <c r="D109" s="88" t="s">
        <v>208</v>
      </c>
      <c r="E109" s="408" t="s">
        <v>1104</v>
      </c>
      <c r="F109" s="6" t="s">
        <v>274</v>
      </c>
      <c r="G109" s="89" t="s">
        <v>278</v>
      </c>
      <c r="H109" s="13">
        <v>3.1</v>
      </c>
      <c r="I109" s="13">
        <v>2.8</v>
      </c>
      <c r="J109" s="147">
        <v>0.19019999999999998</v>
      </c>
      <c r="K109" s="391">
        <v>0.9</v>
      </c>
      <c r="L109" s="6">
        <v>15.8</v>
      </c>
      <c r="M109" s="6">
        <v>158.6</v>
      </c>
      <c r="N109" s="61">
        <f t="shared" si="1"/>
        <v>0.63844785337853704</v>
      </c>
      <c r="O109" s="548"/>
      <c r="P109"/>
    </row>
    <row r="110" spans="1:16" s="37" customFormat="1" ht="15" thickBot="1" x14ac:dyDescent="0.35">
      <c r="A110" s="87">
        <v>42887</v>
      </c>
      <c r="B110" s="402">
        <v>42900</v>
      </c>
      <c r="C110" s="88" t="s">
        <v>13</v>
      </c>
      <c r="D110" s="88" t="s">
        <v>208</v>
      </c>
      <c r="E110" s="408" t="s">
        <v>1105</v>
      </c>
      <c r="F110" s="6" t="s">
        <v>274</v>
      </c>
      <c r="G110" s="89" t="s">
        <v>278</v>
      </c>
      <c r="H110" s="13">
        <v>3.6</v>
      </c>
      <c r="I110" s="13">
        <v>3.2</v>
      </c>
      <c r="J110" s="147">
        <v>0.3548</v>
      </c>
      <c r="K110" s="391">
        <v>1.4</v>
      </c>
      <c r="L110" s="6">
        <v>34.700000000000003</v>
      </c>
      <c r="M110" s="6">
        <v>294.39999999999998</v>
      </c>
      <c r="N110" s="61">
        <f t="shared" si="1"/>
        <v>0.7604595336076817</v>
      </c>
      <c r="O110" s="548"/>
      <c r="P110"/>
    </row>
    <row r="111" spans="1:16" s="37" customFormat="1" ht="15" thickBot="1" x14ac:dyDescent="0.35">
      <c r="A111" s="87">
        <v>42887</v>
      </c>
      <c r="B111" s="402">
        <v>42900</v>
      </c>
      <c r="C111" s="88" t="s">
        <v>13</v>
      </c>
      <c r="D111" s="88" t="s">
        <v>208</v>
      </c>
      <c r="E111" s="408" t="s">
        <v>1106</v>
      </c>
      <c r="F111" s="6" t="s">
        <v>274</v>
      </c>
      <c r="G111" s="89" t="s">
        <v>278</v>
      </c>
      <c r="H111" s="13">
        <v>3</v>
      </c>
      <c r="I111" s="13">
        <v>2.7</v>
      </c>
      <c r="J111" s="147">
        <v>0.21730000000000002</v>
      </c>
      <c r="K111" s="391">
        <v>0.6</v>
      </c>
      <c r="L111" s="6">
        <v>21.9</v>
      </c>
      <c r="M111" s="6">
        <v>171.2</v>
      </c>
      <c r="N111" s="61">
        <f t="shared" si="1"/>
        <v>0.80481481481481487</v>
      </c>
      <c r="O111" s="548"/>
      <c r="P111"/>
    </row>
    <row r="112" spans="1:16" s="37" customFormat="1" ht="15" thickBot="1" x14ac:dyDescent="0.35">
      <c r="A112" s="87">
        <v>42887</v>
      </c>
      <c r="B112" s="402">
        <v>42900</v>
      </c>
      <c r="C112" s="88" t="s">
        <v>13</v>
      </c>
      <c r="D112" s="88" t="s">
        <v>208</v>
      </c>
      <c r="E112" s="408" t="s">
        <v>1107</v>
      </c>
      <c r="F112" s="6" t="s">
        <v>274</v>
      </c>
      <c r="G112" s="89" t="s">
        <v>278</v>
      </c>
      <c r="H112" s="13">
        <v>3.3</v>
      </c>
      <c r="I112" s="13">
        <v>2.9</v>
      </c>
      <c r="J112" s="147">
        <v>0.31160000000000004</v>
      </c>
      <c r="K112" s="391">
        <v>1.4</v>
      </c>
      <c r="L112" s="6">
        <v>15.5</v>
      </c>
      <c r="M112" s="6">
        <v>261.10000000000002</v>
      </c>
      <c r="N112" s="61">
        <f t="shared" si="1"/>
        <v>0.86707293318863587</v>
      </c>
      <c r="O112" s="548"/>
      <c r="P112"/>
    </row>
    <row r="113" spans="1:16" s="48" customFormat="1" ht="15" thickBot="1" x14ac:dyDescent="0.35">
      <c r="A113" s="90">
        <v>42887</v>
      </c>
      <c r="B113" s="402">
        <v>42900</v>
      </c>
      <c r="C113" s="50" t="s">
        <v>13</v>
      </c>
      <c r="D113" s="50" t="s">
        <v>208</v>
      </c>
      <c r="E113" s="408" t="s">
        <v>1108</v>
      </c>
      <c r="F113" s="53" t="s">
        <v>274</v>
      </c>
      <c r="G113" s="91" t="s">
        <v>278</v>
      </c>
      <c r="H113" s="392">
        <v>3.2</v>
      </c>
      <c r="I113" s="392">
        <v>2.9</v>
      </c>
      <c r="J113" s="393">
        <v>0.22650000000000001</v>
      </c>
      <c r="K113" s="394">
        <v>1.1000000000000001</v>
      </c>
      <c r="L113" s="53">
        <v>18.5</v>
      </c>
      <c r="M113" s="53">
        <v>187.6</v>
      </c>
      <c r="N113" s="61">
        <f t="shared" si="1"/>
        <v>0.69122314453124989</v>
      </c>
      <c r="O113" s="548"/>
      <c r="P113"/>
    </row>
    <row r="114" spans="1:16" s="37" customFormat="1" ht="15" thickBot="1" x14ac:dyDescent="0.35">
      <c r="A114" s="18">
        <v>42887</v>
      </c>
      <c r="B114" s="402">
        <v>42914</v>
      </c>
      <c r="C114" s="17" t="s">
        <v>13</v>
      </c>
      <c r="D114" s="17" t="s">
        <v>93</v>
      </c>
      <c r="E114" s="408" t="s">
        <v>1109</v>
      </c>
      <c r="F114" s="37" t="s">
        <v>275</v>
      </c>
      <c r="G114" s="3" t="s">
        <v>279</v>
      </c>
      <c r="H114" s="32">
        <v>4.3</v>
      </c>
      <c r="I114" s="32">
        <v>4</v>
      </c>
      <c r="J114" s="390">
        <v>0.56979999999999997</v>
      </c>
      <c r="K114" s="395">
        <v>5.8</v>
      </c>
      <c r="L114" s="37">
        <v>49.1</v>
      </c>
      <c r="M114" s="37">
        <v>488.1</v>
      </c>
      <c r="N114" s="61">
        <f t="shared" si="1"/>
        <v>0.71666645704151843</v>
      </c>
      <c r="O114" s="3"/>
      <c r="P114"/>
    </row>
    <row r="115" spans="1:16" s="37" customFormat="1" ht="15" thickBot="1" x14ac:dyDescent="0.35">
      <c r="A115" s="18">
        <v>42887</v>
      </c>
      <c r="B115" s="402">
        <v>42914</v>
      </c>
      <c r="C115" s="17" t="s">
        <v>13</v>
      </c>
      <c r="D115" s="17" t="s">
        <v>93</v>
      </c>
      <c r="E115" s="408" t="s">
        <v>1110</v>
      </c>
      <c r="F115" s="37" t="s">
        <v>275</v>
      </c>
      <c r="G115" s="3" t="s">
        <v>279</v>
      </c>
      <c r="H115" s="32">
        <v>4.3</v>
      </c>
      <c r="I115" s="32">
        <v>3.9</v>
      </c>
      <c r="J115" s="390">
        <v>0.58299999999999996</v>
      </c>
      <c r="K115" s="395">
        <v>6.7</v>
      </c>
      <c r="L115" s="37">
        <v>39.700000000000003</v>
      </c>
      <c r="M115" s="37">
        <v>499.6</v>
      </c>
      <c r="N115" s="61">
        <f t="shared" si="1"/>
        <v>0.73326876878765401</v>
      </c>
      <c r="O115" s="3"/>
      <c r="P115"/>
    </row>
    <row r="116" spans="1:16" s="37" customFormat="1" ht="15" thickBot="1" x14ac:dyDescent="0.35">
      <c r="A116" s="18">
        <v>42887</v>
      </c>
      <c r="B116" s="402">
        <v>42914</v>
      </c>
      <c r="C116" s="17" t="s">
        <v>13</v>
      </c>
      <c r="D116" s="17" t="s">
        <v>93</v>
      </c>
      <c r="E116" s="408" t="s">
        <v>1111</v>
      </c>
      <c r="F116" s="37" t="s">
        <v>275</v>
      </c>
      <c r="G116" s="3" t="s">
        <v>279</v>
      </c>
      <c r="H116" s="32">
        <v>4.7</v>
      </c>
      <c r="I116" s="32">
        <v>4.2</v>
      </c>
      <c r="J116" s="390">
        <v>0.80070000000000008</v>
      </c>
      <c r="K116" s="395">
        <v>9.1999999999999993</v>
      </c>
      <c r="L116" s="37">
        <v>61.7</v>
      </c>
      <c r="M116" s="37">
        <v>696</v>
      </c>
      <c r="N116" s="61">
        <f t="shared" si="1"/>
        <v>0.77121639713743573</v>
      </c>
      <c r="O116" s="3"/>
      <c r="P116"/>
    </row>
    <row r="117" spans="1:16" s="37" customFormat="1" ht="15" thickBot="1" x14ac:dyDescent="0.35">
      <c r="A117" s="18">
        <v>42887</v>
      </c>
      <c r="B117" s="402">
        <v>42914</v>
      </c>
      <c r="C117" s="17" t="s">
        <v>13</v>
      </c>
      <c r="D117" s="17" t="s">
        <v>93</v>
      </c>
      <c r="E117" s="408" t="s">
        <v>1112</v>
      </c>
      <c r="F117" s="37" t="s">
        <v>275</v>
      </c>
      <c r="G117" s="3" t="s">
        <v>279</v>
      </c>
      <c r="H117" s="32">
        <v>4.4000000000000004</v>
      </c>
      <c r="I117" s="32">
        <v>3.9</v>
      </c>
      <c r="J117" s="390">
        <v>0.67710000000000004</v>
      </c>
      <c r="K117" s="395">
        <v>3.7</v>
      </c>
      <c r="L117" s="37">
        <v>44.1</v>
      </c>
      <c r="M117" s="37">
        <v>592.4</v>
      </c>
      <c r="N117" s="61">
        <f t="shared" si="1"/>
        <v>0.7948675807663409</v>
      </c>
      <c r="O117" s="3"/>
      <c r="P117"/>
    </row>
    <row r="118" spans="1:16" s="37" customFormat="1" ht="15" thickBot="1" x14ac:dyDescent="0.35">
      <c r="A118" s="18">
        <v>42887</v>
      </c>
      <c r="B118" s="402">
        <v>42914</v>
      </c>
      <c r="C118" s="17" t="s">
        <v>13</v>
      </c>
      <c r="D118" s="17" t="s">
        <v>93</v>
      </c>
      <c r="E118" s="408" t="s">
        <v>1113</v>
      </c>
      <c r="F118" s="37" t="s">
        <v>275</v>
      </c>
      <c r="G118" s="3" t="s">
        <v>279</v>
      </c>
      <c r="H118" s="32">
        <v>5</v>
      </c>
      <c r="I118" s="32">
        <v>4.5</v>
      </c>
      <c r="J118" s="390">
        <v>0.94840000000000002</v>
      </c>
      <c r="K118" s="395">
        <v>6.3</v>
      </c>
      <c r="L118" s="37">
        <v>46.5</v>
      </c>
      <c r="M118" s="37">
        <v>842.6</v>
      </c>
      <c r="N118" s="61">
        <f t="shared" si="1"/>
        <v>0.75872000000000006</v>
      </c>
      <c r="O118" s="3"/>
      <c r="P118"/>
    </row>
    <row r="119" spans="1:16" s="37" customFormat="1" ht="15" thickBot="1" x14ac:dyDescent="0.35">
      <c r="A119" s="18">
        <v>42887</v>
      </c>
      <c r="B119" s="402">
        <v>42914</v>
      </c>
      <c r="C119" s="17" t="s">
        <v>13</v>
      </c>
      <c r="D119" s="17" t="s">
        <v>93</v>
      </c>
      <c r="E119" s="408" t="s">
        <v>1114</v>
      </c>
      <c r="F119" s="37" t="s">
        <v>275</v>
      </c>
      <c r="G119" s="3" t="s">
        <v>279</v>
      </c>
      <c r="H119" s="32">
        <v>5.3</v>
      </c>
      <c r="I119" s="32">
        <v>4.9000000000000004</v>
      </c>
      <c r="J119" s="390">
        <v>1.3503000000000001</v>
      </c>
      <c r="K119" s="395">
        <v>8.6</v>
      </c>
      <c r="L119" s="37">
        <v>82.9</v>
      </c>
      <c r="M119" s="37">
        <v>1205.5999999999999</v>
      </c>
      <c r="N119" s="61">
        <f t="shared" si="1"/>
        <v>0.90699033430281384</v>
      </c>
      <c r="O119" s="3"/>
      <c r="P119"/>
    </row>
    <row r="120" spans="1:16" s="37" customFormat="1" ht="15" thickBot="1" x14ac:dyDescent="0.35">
      <c r="A120" s="18">
        <v>42887</v>
      </c>
      <c r="B120" s="402">
        <v>42914</v>
      </c>
      <c r="C120" s="17" t="s">
        <v>13</v>
      </c>
      <c r="D120" s="17" t="s">
        <v>93</v>
      </c>
      <c r="E120" s="408" t="s">
        <v>1115</v>
      </c>
      <c r="F120" s="37" t="s">
        <v>275</v>
      </c>
      <c r="G120" s="3" t="s">
        <v>279</v>
      </c>
      <c r="H120" s="32">
        <v>4.5999999999999996</v>
      </c>
      <c r="I120" s="32">
        <v>4.0999999999999996</v>
      </c>
      <c r="J120" s="390">
        <v>0.71650000000000003</v>
      </c>
      <c r="K120" s="395">
        <v>6.2</v>
      </c>
      <c r="L120" s="37">
        <v>53.6</v>
      </c>
      <c r="M120" s="37">
        <v>635.6</v>
      </c>
      <c r="N120" s="61">
        <f t="shared" si="1"/>
        <v>0.73610996958987451</v>
      </c>
      <c r="O120" s="3"/>
      <c r="P120"/>
    </row>
    <row r="121" spans="1:16" s="37" customFormat="1" ht="15" thickBot="1" x14ac:dyDescent="0.35">
      <c r="A121" s="18">
        <v>42887</v>
      </c>
      <c r="B121" s="402">
        <v>42914</v>
      </c>
      <c r="C121" s="17" t="s">
        <v>13</v>
      </c>
      <c r="D121" s="17" t="s">
        <v>93</v>
      </c>
      <c r="E121" s="408" t="s">
        <v>1116</v>
      </c>
      <c r="F121" s="37" t="s">
        <v>275</v>
      </c>
      <c r="G121" s="3" t="s">
        <v>279</v>
      </c>
      <c r="H121" s="32">
        <v>5</v>
      </c>
      <c r="I121" s="32">
        <v>4.5999999999999996</v>
      </c>
      <c r="J121" s="390">
        <v>0.86720000000000008</v>
      </c>
      <c r="K121" s="395">
        <v>6.6</v>
      </c>
      <c r="L121" s="37">
        <v>43.2</v>
      </c>
      <c r="M121" s="37">
        <v>777.8</v>
      </c>
      <c r="N121" s="61">
        <f t="shared" si="1"/>
        <v>0.69376000000000015</v>
      </c>
      <c r="O121" s="3"/>
      <c r="P121"/>
    </row>
    <row r="122" spans="1:16" s="37" customFormat="1" ht="15" thickBot="1" x14ac:dyDescent="0.35">
      <c r="A122" s="18">
        <v>42887</v>
      </c>
      <c r="B122" s="402">
        <v>42914</v>
      </c>
      <c r="C122" s="17" t="s">
        <v>13</v>
      </c>
      <c r="D122" s="17" t="s">
        <v>93</v>
      </c>
      <c r="E122" s="408" t="s">
        <v>1117</v>
      </c>
      <c r="F122" s="37" t="s">
        <v>275</v>
      </c>
      <c r="G122" s="3" t="s">
        <v>279</v>
      </c>
      <c r="H122" s="32">
        <v>4.8</v>
      </c>
      <c r="I122" s="32">
        <v>4.3</v>
      </c>
      <c r="J122" s="390">
        <v>0.80800000000000005</v>
      </c>
      <c r="K122" s="395">
        <v>7.5</v>
      </c>
      <c r="L122" s="37">
        <v>51.6</v>
      </c>
      <c r="M122" s="37">
        <v>708.1</v>
      </c>
      <c r="N122" s="61">
        <f t="shared" si="1"/>
        <v>0.73061342592592604</v>
      </c>
      <c r="O122" s="3"/>
      <c r="P122"/>
    </row>
    <row r="123" spans="1:16" s="37" customFormat="1" ht="15" thickBot="1" x14ac:dyDescent="0.35">
      <c r="A123" s="18">
        <v>42887</v>
      </c>
      <c r="B123" s="402">
        <v>42914</v>
      </c>
      <c r="C123" s="17" t="s">
        <v>13</v>
      </c>
      <c r="D123" s="17" t="s">
        <v>93</v>
      </c>
      <c r="E123" s="408" t="s">
        <v>1118</v>
      </c>
      <c r="F123" s="37" t="s">
        <v>275</v>
      </c>
      <c r="G123" s="3" t="s">
        <v>279</v>
      </c>
      <c r="H123" s="32">
        <v>3.5</v>
      </c>
      <c r="I123" s="32">
        <v>3.2</v>
      </c>
      <c r="J123" s="390">
        <v>0.31719999999999998</v>
      </c>
      <c r="K123" s="395">
        <v>2.1</v>
      </c>
      <c r="L123" s="37">
        <v>21.5</v>
      </c>
      <c r="M123" s="37">
        <v>270.60000000000002</v>
      </c>
      <c r="N123" s="61">
        <f t="shared" si="1"/>
        <v>0.7398250728862974</v>
      </c>
      <c r="O123" s="3"/>
      <c r="P123"/>
    </row>
    <row r="124" spans="1:16" s="37" customFormat="1" ht="15" thickBot="1" x14ac:dyDescent="0.35">
      <c r="A124" s="18">
        <v>42887</v>
      </c>
      <c r="B124" s="402">
        <v>42914</v>
      </c>
      <c r="C124" s="17" t="s">
        <v>13</v>
      </c>
      <c r="D124" s="17" t="s">
        <v>93</v>
      </c>
      <c r="E124" s="408" t="s">
        <v>1119</v>
      </c>
      <c r="F124" s="37" t="s">
        <v>275</v>
      </c>
      <c r="G124" s="3" t="s">
        <v>279</v>
      </c>
      <c r="H124" s="32">
        <v>3.7</v>
      </c>
      <c r="I124" s="32">
        <v>3.3</v>
      </c>
      <c r="J124" s="390">
        <v>0.33900000000000002</v>
      </c>
      <c r="K124" s="395">
        <v>0.5</v>
      </c>
      <c r="L124" s="37">
        <v>30.7</v>
      </c>
      <c r="M124" s="37">
        <v>275.10000000000002</v>
      </c>
      <c r="N124" s="61">
        <f t="shared" si="1"/>
        <v>0.66925947130475982</v>
      </c>
      <c r="O124" s="3"/>
      <c r="P124"/>
    </row>
    <row r="125" spans="1:16" s="37" customFormat="1" ht="15" thickBot="1" x14ac:dyDescent="0.35">
      <c r="A125" s="18">
        <v>42887</v>
      </c>
      <c r="B125" s="402">
        <v>42914</v>
      </c>
      <c r="C125" s="17" t="s">
        <v>13</v>
      </c>
      <c r="D125" s="17" t="s">
        <v>93</v>
      </c>
      <c r="E125" s="408" t="s">
        <v>1120</v>
      </c>
      <c r="F125" s="37" t="s">
        <v>275</v>
      </c>
      <c r="G125" s="3" t="s">
        <v>279</v>
      </c>
      <c r="H125" s="32">
        <v>4.4000000000000004</v>
      </c>
      <c r="I125" s="32">
        <v>4</v>
      </c>
      <c r="J125" s="390">
        <v>0.66559999999999997</v>
      </c>
      <c r="K125" s="395">
        <v>6.9</v>
      </c>
      <c r="L125" s="37">
        <v>54</v>
      </c>
      <c r="M125" s="37">
        <v>560.4</v>
      </c>
      <c r="N125" s="61">
        <f t="shared" si="1"/>
        <v>0.78136739293764068</v>
      </c>
      <c r="O125" s="3"/>
      <c r="P125"/>
    </row>
    <row r="126" spans="1:16" s="48" customFormat="1" ht="15" thickBot="1" x14ac:dyDescent="0.35">
      <c r="A126" s="68">
        <v>42887</v>
      </c>
      <c r="B126" s="402">
        <v>42914</v>
      </c>
      <c r="C126" s="67" t="s">
        <v>13</v>
      </c>
      <c r="D126" s="67" t="s">
        <v>93</v>
      </c>
      <c r="E126" s="408" t="s">
        <v>1121</v>
      </c>
      <c r="F126" s="48" t="s">
        <v>275</v>
      </c>
      <c r="G126" s="69" t="s">
        <v>279</v>
      </c>
      <c r="H126" s="190">
        <v>5.4</v>
      </c>
      <c r="I126" s="190">
        <v>5</v>
      </c>
      <c r="J126" s="396">
        <v>1.2809000000000001</v>
      </c>
      <c r="K126" s="397">
        <v>7.8</v>
      </c>
      <c r="L126" s="48">
        <v>82.4</v>
      </c>
      <c r="M126" s="48">
        <v>1126.7</v>
      </c>
      <c r="N126" s="61">
        <f t="shared" si="1"/>
        <v>0.81345577401818814</v>
      </c>
      <c r="O126" s="69"/>
      <c r="P126"/>
    </row>
    <row r="127" spans="1:16" ht="15" thickBot="1" x14ac:dyDescent="0.35">
      <c r="A127" s="18">
        <v>42887</v>
      </c>
      <c r="B127" s="402">
        <v>42900</v>
      </c>
      <c r="C127" s="17" t="s">
        <v>14</v>
      </c>
      <c r="D127" s="17" t="s">
        <v>94</v>
      </c>
      <c r="E127" s="408" t="s">
        <v>1122</v>
      </c>
      <c r="F127" s="3" t="s">
        <v>266</v>
      </c>
      <c r="G127" s="3" t="s">
        <v>277</v>
      </c>
      <c r="H127" s="385">
        <v>2.2000000000000002</v>
      </c>
      <c r="I127" s="385">
        <v>2</v>
      </c>
      <c r="J127" s="386">
        <v>5.8299999999999998E-2</v>
      </c>
      <c r="K127" s="385"/>
      <c r="L127" s="3"/>
      <c r="M127" s="3"/>
      <c r="N127" s="61">
        <f t="shared" si="1"/>
        <v>0.54752066115702458</v>
      </c>
      <c r="O127" s="3"/>
    </row>
    <row r="128" spans="1:16" ht="15" thickBot="1" x14ac:dyDescent="0.35">
      <c r="A128" s="18">
        <v>42887</v>
      </c>
      <c r="B128" s="402">
        <v>42900</v>
      </c>
      <c r="C128" s="17" t="s">
        <v>14</v>
      </c>
      <c r="D128" s="17" t="s">
        <v>94</v>
      </c>
      <c r="E128" s="408" t="s">
        <v>1123</v>
      </c>
      <c r="F128" s="3" t="s">
        <v>266</v>
      </c>
      <c r="G128" s="3" t="s">
        <v>277</v>
      </c>
      <c r="H128" s="385">
        <v>2.4</v>
      </c>
      <c r="I128" s="385">
        <v>2</v>
      </c>
      <c r="J128" s="386">
        <v>9.0200000000000002E-2</v>
      </c>
      <c r="K128" s="385"/>
      <c r="L128" s="3"/>
      <c r="M128" s="3"/>
      <c r="N128" s="61">
        <f t="shared" si="1"/>
        <v>0.65248842592592593</v>
      </c>
      <c r="O128" s="3"/>
    </row>
    <row r="129" spans="1:15" ht="15" thickBot="1" x14ac:dyDescent="0.35">
      <c r="A129" s="18">
        <v>42887</v>
      </c>
      <c r="B129" s="402">
        <v>42900</v>
      </c>
      <c r="C129" s="17" t="s">
        <v>14</v>
      </c>
      <c r="D129" s="17" t="s">
        <v>94</v>
      </c>
      <c r="E129" s="408" t="s">
        <v>1124</v>
      </c>
      <c r="F129" s="3" t="s">
        <v>266</v>
      </c>
      <c r="G129" s="3" t="s">
        <v>277</v>
      </c>
      <c r="H129" s="385">
        <v>2.2000000000000002</v>
      </c>
      <c r="I129" s="385">
        <v>2</v>
      </c>
      <c r="J129" s="386">
        <v>8.9099999999999999E-2</v>
      </c>
      <c r="K129" s="385"/>
      <c r="L129" s="3"/>
      <c r="M129" s="3"/>
      <c r="N129" s="61">
        <f t="shared" si="1"/>
        <v>0.83677685950413194</v>
      </c>
      <c r="O129" s="3"/>
    </row>
    <row r="130" spans="1:15" ht="15" thickBot="1" x14ac:dyDescent="0.35">
      <c r="A130" s="18">
        <v>42887</v>
      </c>
      <c r="B130" s="402">
        <v>42900</v>
      </c>
      <c r="C130" s="17" t="s">
        <v>14</v>
      </c>
      <c r="D130" s="17" t="s">
        <v>94</v>
      </c>
      <c r="E130" s="408" t="s">
        <v>1125</v>
      </c>
      <c r="F130" s="3" t="s">
        <v>266</v>
      </c>
      <c r="G130" s="3" t="s">
        <v>277</v>
      </c>
      <c r="H130" s="385">
        <v>2.4</v>
      </c>
      <c r="I130" s="385">
        <v>2</v>
      </c>
      <c r="J130" s="386">
        <v>0.1222</v>
      </c>
      <c r="K130" s="385"/>
      <c r="L130" s="3">
        <v>18.100000000000001</v>
      </c>
      <c r="M130" s="3">
        <v>91.5</v>
      </c>
      <c r="N130" s="61">
        <f t="shared" si="1"/>
        <v>0.88396990740740744</v>
      </c>
      <c r="O130" s="3"/>
    </row>
    <row r="131" spans="1:15" ht="15" thickBot="1" x14ac:dyDescent="0.35">
      <c r="A131" s="18">
        <v>42887</v>
      </c>
      <c r="B131" s="402">
        <v>42900</v>
      </c>
      <c r="C131" s="17" t="s">
        <v>14</v>
      </c>
      <c r="D131" s="17" t="s">
        <v>94</v>
      </c>
      <c r="E131" s="408" t="s">
        <v>1126</v>
      </c>
      <c r="F131" s="3" t="s">
        <v>266</v>
      </c>
      <c r="G131" s="3" t="s">
        <v>277</v>
      </c>
      <c r="H131" s="385">
        <v>5.5</v>
      </c>
      <c r="I131" s="385">
        <v>5</v>
      </c>
      <c r="J131" s="386">
        <v>1.3957999999999999</v>
      </c>
      <c r="K131" s="385">
        <v>25.1</v>
      </c>
      <c r="L131" s="3">
        <v>80.8</v>
      </c>
      <c r="M131" s="3">
        <v>1210.5999999999999</v>
      </c>
      <c r="N131" s="61">
        <f t="shared" ref="N131:N194" si="2">100*J131/H131^3</f>
        <v>0.83894815927873767</v>
      </c>
      <c r="O131" s="3"/>
    </row>
    <row r="132" spans="1:15" ht="15" thickBot="1" x14ac:dyDescent="0.35">
      <c r="A132" s="18">
        <v>42887</v>
      </c>
      <c r="B132" s="402">
        <v>42900</v>
      </c>
      <c r="C132" s="17" t="s">
        <v>14</v>
      </c>
      <c r="D132" s="17" t="s">
        <v>94</v>
      </c>
      <c r="E132" s="408" t="s">
        <v>1127</v>
      </c>
      <c r="F132" s="3" t="s">
        <v>266</v>
      </c>
      <c r="G132" s="3" t="s">
        <v>277</v>
      </c>
      <c r="H132" s="385">
        <v>2.7</v>
      </c>
      <c r="I132" s="385">
        <v>2.5</v>
      </c>
      <c r="J132" s="386">
        <v>0.1694</v>
      </c>
      <c r="K132" s="385"/>
      <c r="L132" s="3">
        <v>24.6</v>
      </c>
      <c r="M132" s="3">
        <v>130.6</v>
      </c>
      <c r="N132" s="61">
        <f t="shared" si="2"/>
        <v>0.8606411624244269</v>
      </c>
      <c r="O132" s="3"/>
    </row>
    <row r="133" spans="1:15" ht="15" thickBot="1" x14ac:dyDescent="0.35">
      <c r="A133" s="18">
        <v>42887</v>
      </c>
      <c r="B133" s="402">
        <v>42900</v>
      </c>
      <c r="C133" s="17" t="s">
        <v>14</v>
      </c>
      <c r="D133" s="17" t="s">
        <v>94</v>
      </c>
      <c r="E133" s="408" t="s">
        <v>1128</v>
      </c>
      <c r="F133" s="3" t="s">
        <v>266</v>
      </c>
      <c r="G133" s="3" t="s">
        <v>277</v>
      </c>
      <c r="H133" s="385">
        <v>4.5</v>
      </c>
      <c r="I133" s="385">
        <v>4</v>
      </c>
      <c r="J133" s="386">
        <v>0.70910000000000006</v>
      </c>
      <c r="K133" s="385">
        <v>9.1</v>
      </c>
      <c r="L133" s="3">
        <v>71</v>
      </c>
      <c r="M133" s="3">
        <v>538.79999999999995</v>
      </c>
      <c r="N133" s="61">
        <f t="shared" si="2"/>
        <v>0.77816186556927314</v>
      </c>
      <c r="O133" s="3"/>
    </row>
    <row r="134" spans="1:15" ht="15" thickBot="1" x14ac:dyDescent="0.35">
      <c r="A134" s="18">
        <v>42887</v>
      </c>
      <c r="B134" s="402">
        <v>42900</v>
      </c>
      <c r="C134" s="17" t="s">
        <v>14</v>
      </c>
      <c r="D134" s="17" t="s">
        <v>94</v>
      </c>
      <c r="E134" s="408" t="s">
        <v>1129</v>
      </c>
      <c r="F134" s="3" t="s">
        <v>266</v>
      </c>
      <c r="G134" s="3" t="s">
        <v>277</v>
      </c>
      <c r="H134" s="385">
        <v>2.9</v>
      </c>
      <c r="I134" s="385">
        <v>2.5</v>
      </c>
      <c r="J134" s="386">
        <v>0.15609999999999999</v>
      </c>
      <c r="K134" s="398">
        <v>7.2</v>
      </c>
      <c r="L134" s="3">
        <v>8.8000000000000007</v>
      </c>
      <c r="M134" s="3">
        <v>127</v>
      </c>
      <c r="N134" s="61">
        <f t="shared" si="2"/>
        <v>0.64004264217475093</v>
      </c>
      <c r="O134" s="73" t="s">
        <v>267</v>
      </c>
    </row>
    <row r="135" spans="1:15" ht="15" thickBot="1" x14ac:dyDescent="0.35">
      <c r="A135" s="18">
        <v>42887</v>
      </c>
      <c r="B135" s="402">
        <v>42900</v>
      </c>
      <c r="C135" s="17" t="s">
        <v>14</v>
      </c>
      <c r="D135" s="17" t="s">
        <v>94</v>
      </c>
      <c r="E135" s="408" t="s">
        <v>1130</v>
      </c>
      <c r="F135" s="3" t="s">
        <v>266</v>
      </c>
      <c r="G135" s="3" t="s">
        <v>277</v>
      </c>
      <c r="H135" s="385">
        <v>3.3</v>
      </c>
      <c r="I135" s="385">
        <v>2.9</v>
      </c>
      <c r="J135" s="386">
        <v>0.2344</v>
      </c>
      <c r="K135" s="385"/>
      <c r="L135" s="3">
        <v>30.9</v>
      </c>
      <c r="M135" s="3">
        <v>186.3</v>
      </c>
      <c r="N135" s="61">
        <f t="shared" si="2"/>
        <v>0.65225255307899943</v>
      </c>
      <c r="O135" s="3"/>
    </row>
    <row r="136" spans="1:15" ht="15" thickBot="1" x14ac:dyDescent="0.35">
      <c r="A136" s="18">
        <v>42887</v>
      </c>
      <c r="B136" s="402">
        <v>42900</v>
      </c>
      <c r="C136" s="17" t="s">
        <v>14</v>
      </c>
      <c r="D136" s="17" t="s">
        <v>94</v>
      </c>
      <c r="E136" s="408" t="s">
        <v>1131</v>
      </c>
      <c r="F136" s="3" t="s">
        <v>266</v>
      </c>
      <c r="G136" s="3" t="s">
        <v>277</v>
      </c>
      <c r="H136" s="385">
        <v>3.8</v>
      </c>
      <c r="I136" s="385">
        <v>3.4</v>
      </c>
      <c r="J136" s="386">
        <v>0.44410000000000005</v>
      </c>
      <c r="K136" s="385">
        <v>4.4000000000000004</v>
      </c>
      <c r="L136" s="3">
        <v>31.8</v>
      </c>
      <c r="M136" s="3">
        <v>364.3</v>
      </c>
      <c r="N136" s="61">
        <f t="shared" si="2"/>
        <v>0.80933809593235184</v>
      </c>
      <c r="O136" s="3"/>
    </row>
    <row r="137" spans="1:15" ht="15" thickBot="1" x14ac:dyDescent="0.35">
      <c r="A137" s="18">
        <v>42887</v>
      </c>
      <c r="B137" s="402">
        <v>42900</v>
      </c>
      <c r="C137" s="17" t="s">
        <v>14</v>
      </c>
      <c r="D137" s="17" t="s">
        <v>94</v>
      </c>
      <c r="E137" s="408" t="s">
        <v>1132</v>
      </c>
      <c r="F137" s="3" t="s">
        <v>266</v>
      </c>
      <c r="G137" s="3" t="s">
        <v>277</v>
      </c>
      <c r="H137" s="385">
        <v>4.3</v>
      </c>
      <c r="I137" s="385">
        <v>3.8</v>
      </c>
      <c r="J137" s="386">
        <v>0.67670000000000008</v>
      </c>
      <c r="K137" s="385">
        <v>11.2</v>
      </c>
      <c r="L137" s="3">
        <v>32.299999999999997</v>
      </c>
      <c r="M137" s="3">
        <v>579.4</v>
      </c>
      <c r="N137" s="61">
        <f t="shared" si="2"/>
        <v>0.8511200271674193</v>
      </c>
      <c r="O137" s="3"/>
    </row>
    <row r="138" spans="1:15" ht="15" thickBot="1" x14ac:dyDescent="0.35">
      <c r="A138" s="18">
        <v>42887</v>
      </c>
      <c r="B138" s="402">
        <v>42900</v>
      </c>
      <c r="C138" s="17" t="s">
        <v>14</v>
      </c>
      <c r="D138" s="17" t="s">
        <v>94</v>
      </c>
      <c r="E138" s="408" t="s">
        <v>1133</v>
      </c>
      <c r="F138" s="3" t="s">
        <v>266</v>
      </c>
      <c r="G138" s="3" t="s">
        <v>277</v>
      </c>
      <c r="H138" s="385">
        <v>3.2</v>
      </c>
      <c r="I138" s="385">
        <v>2.8</v>
      </c>
      <c r="J138" s="386">
        <v>0.2838</v>
      </c>
      <c r="K138" s="385"/>
      <c r="L138" s="3">
        <v>27.5</v>
      </c>
      <c r="M138" s="3">
        <v>223.3</v>
      </c>
      <c r="N138" s="61">
        <f t="shared" si="2"/>
        <v>0.86608886718749978</v>
      </c>
      <c r="O138" s="3"/>
    </row>
    <row r="139" spans="1:15" ht="15" thickBot="1" x14ac:dyDescent="0.35">
      <c r="A139" s="18">
        <v>42887</v>
      </c>
      <c r="B139" s="402">
        <v>42900</v>
      </c>
      <c r="C139" s="17" t="s">
        <v>14</v>
      </c>
      <c r="D139" s="17" t="s">
        <v>94</v>
      </c>
      <c r="E139" s="408" t="s">
        <v>1134</v>
      </c>
      <c r="F139" s="3" t="s">
        <v>266</v>
      </c>
      <c r="G139" s="3" t="s">
        <v>277</v>
      </c>
      <c r="H139" s="385">
        <v>4.5</v>
      </c>
      <c r="I139" s="385">
        <v>4.0999999999999996</v>
      </c>
      <c r="J139" s="386">
        <v>0.73960000000000004</v>
      </c>
      <c r="K139" s="385">
        <v>5.5</v>
      </c>
      <c r="L139" s="3">
        <v>77.7</v>
      </c>
      <c r="M139" s="3">
        <v>596.6</v>
      </c>
      <c r="N139" s="61">
        <f t="shared" si="2"/>
        <v>0.81163237311385472</v>
      </c>
      <c r="O139" s="3"/>
    </row>
    <row r="140" spans="1:15" ht="15" thickBot="1" x14ac:dyDescent="0.35">
      <c r="A140" s="18">
        <v>42887</v>
      </c>
      <c r="B140" s="402">
        <v>42900</v>
      </c>
      <c r="C140" s="17" t="s">
        <v>14</v>
      </c>
      <c r="D140" s="17" t="s">
        <v>94</v>
      </c>
      <c r="E140" s="408" t="s">
        <v>1135</v>
      </c>
      <c r="F140" s="3" t="s">
        <v>266</v>
      </c>
      <c r="G140" s="3" t="s">
        <v>277</v>
      </c>
      <c r="H140" s="385">
        <v>3.8</v>
      </c>
      <c r="I140" s="385">
        <v>3.4</v>
      </c>
      <c r="J140" s="386">
        <v>0.34279999999999999</v>
      </c>
      <c r="K140" s="385">
        <v>5.6</v>
      </c>
      <c r="L140" s="3">
        <v>14</v>
      </c>
      <c r="M140" s="3">
        <v>290.39999999999998</v>
      </c>
      <c r="N140" s="61">
        <f t="shared" si="2"/>
        <v>0.6247266365359383</v>
      </c>
      <c r="O140" s="3"/>
    </row>
    <row r="141" spans="1:15" ht="15" thickBot="1" x14ac:dyDescent="0.35">
      <c r="A141" s="18">
        <v>42887</v>
      </c>
      <c r="B141" s="402">
        <v>42900</v>
      </c>
      <c r="C141" s="17" t="s">
        <v>14</v>
      </c>
      <c r="D141" s="17" t="s">
        <v>94</v>
      </c>
      <c r="E141" s="408" t="s">
        <v>1136</v>
      </c>
      <c r="F141" s="3" t="s">
        <v>268</v>
      </c>
      <c r="G141" s="3" t="s">
        <v>277</v>
      </c>
      <c r="H141" s="385">
        <v>2.6</v>
      </c>
      <c r="I141" s="385">
        <v>2.4</v>
      </c>
      <c r="J141" s="386">
        <v>6.8099999999999994E-2</v>
      </c>
      <c r="K141" s="385"/>
      <c r="L141" s="3"/>
      <c r="M141" s="3"/>
      <c r="N141" s="61">
        <f t="shared" si="2"/>
        <v>0.38746017296313146</v>
      </c>
      <c r="O141" s="3"/>
    </row>
    <row r="142" spans="1:15" ht="15" thickBot="1" x14ac:dyDescent="0.35">
      <c r="A142" s="18">
        <v>42887</v>
      </c>
      <c r="B142" s="402">
        <v>42900</v>
      </c>
      <c r="C142" s="17" t="s">
        <v>14</v>
      </c>
      <c r="D142" s="17" t="s">
        <v>94</v>
      </c>
      <c r="E142" s="408" t="s">
        <v>1137</v>
      </c>
      <c r="F142" s="3" t="s">
        <v>268</v>
      </c>
      <c r="G142" s="3" t="s">
        <v>277</v>
      </c>
      <c r="H142" s="385">
        <v>2.2000000000000002</v>
      </c>
      <c r="I142" s="385">
        <v>2</v>
      </c>
      <c r="J142" s="386">
        <v>7.9400000000000012E-2</v>
      </c>
      <c r="K142" s="385"/>
      <c r="L142" s="3"/>
      <c r="M142" s="3"/>
      <c r="N142" s="61">
        <f t="shared" si="2"/>
        <v>0.74567993989481585</v>
      </c>
      <c r="O142" s="3"/>
    </row>
    <row r="143" spans="1:15" ht="15" thickBot="1" x14ac:dyDescent="0.35">
      <c r="A143" s="18">
        <v>42887</v>
      </c>
      <c r="B143" s="402">
        <v>42900</v>
      </c>
      <c r="C143" s="17" t="s">
        <v>14</v>
      </c>
      <c r="D143" s="17" t="s">
        <v>94</v>
      </c>
      <c r="E143" s="408" t="s">
        <v>1138</v>
      </c>
      <c r="F143" s="3" t="s">
        <v>268</v>
      </c>
      <c r="G143" s="3" t="s">
        <v>277</v>
      </c>
      <c r="H143" s="385">
        <v>4.2</v>
      </c>
      <c r="I143" s="385">
        <v>3.9</v>
      </c>
      <c r="J143" s="386">
        <v>0.45419999999999999</v>
      </c>
      <c r="K143" s="385">
        <v>10</v>
      </c>
      <c r="L143" s="3">
        <v>29.8</v>
      </c>
      <c r="M143" s="3">
        <v>389.6</v>
      </c>
      <c r="N143" s="61">
        <f t="shared" si="2"/>
        <v>0.61305474570780694</v>
      </c>
      <c r="O143" s="3"/>
    </row>
    <row r="144" spans="1:15" ht="15" thickBot="1" x14ac:dyDescent="0.35">
      <c r="A144" s="18">
        <v>42887</v>
      </c>
      <c r="B144" s="402">
        <v>42900</v>
      </c>
      <c r="C144" s="17" t="s">
        <v>14</v>
      </c>
      <c r="D144" s="17" t="s">
        <v>94</v>
      </c>
      <c r="E144" s="408" t="s">
        <v>1139</v>
      </c>
      <c r="F144" s="3" t="s">
        <v>268</v>
      </c>
      <c r="G144" s="3" t="s">
        <v>277</v>
      </c>
      <c r="H144" s="385">
        <v>2.5</v>
      </c>
      <c r="I144" s="385">
        <v>2.2999999999999998</v>
      </c>
      <c r="J144" s="386">
        <v>0.1196</v>
      </c>
      <c r="K144" s="385"/>
      <c r="L144" s="3">
        <v>9.1999999999999993</v>
      </c>
      <c r="M144" s="3">
        <v>95.4</v>
      </c>
      <c r="N144" s="61">
        <f t="shared" si="2"/>
        <v>0.7654399999999999</v>
      </c>
      <c r="O144" s="3"/>
    </row>
    <row r="145" spans="1:16" ht="15" thickBot="1" x14ac:dyDescent="0.35">
      <c r="A145" s="18">
        <v>42887</v>
      </c>
      <c r="B145" s="402">
        <v>42900</v>
      </c>
      <c r="C145" s="17" t="s">
        <v>14</v>
      </c>
      <c r="D145" s="17" t="s">
        <v>94</v>
      </c>
      <c r="E145" s="408" t="s">
        <v>1140</v>
      </c>
      <c r="F145" s="3" t="s">
        <v>268</v>
      </c>
      <c r="G145" s="3" t="s">
        <v>277</v>
      </c>
      <c r="H145" s="385">
        <v>2.8</v>
      </c>
      <c r="I145" s="385">
        <v>2.5</v>
      </c>
      <c r="J145" s="386">
        <v>0.11849999999999999</v>
      </c>
      <c r="K145" s="385"/>
      <c r="L145" s="3">
        <v>12.4</v>
      </c>
      <c r="M145" s="3">
        <v>88.5</v>
      </c>
      <c r="N145" s="61">
        <f t="shared" si="2"/>
        <v>0.53981413994169103</v>
      </c>
      <c r="O145" s="3"/>
    </row>
    <row r="146" spans="1:16" ht="15" thickBot="1" x14ac:dyDescent="0.35">
      <c r="A146" s="18">
        <v>42887</v>
      </c>
      <c r="B146" s="402">
        <v>42900</v>
      </c>
      <c r="C146" s="17" t="s">
        <v>14</v>
      </c>
      <c r="D146" s="17" t="s">
        <v>94</v>
      </c>
      <c r="E146" s="408" t="s">
        <v>1141</v>
      </c>
      <c r="F146" s="3" t="s">
        <v>268</v>
      </c>
      <c r="G146" s="3" t="s">
        <v>277</v>
      </c>
      <c r="H146" s="385">
        <v>3.5</v>
      </c>
      <c r="I146" s="385">
        <v>3.1</v>
      </c>
      <c r="J146" s="386">
        <v>0.33410000000000001</v>
      </c>
      <c r="K146" s="385">
        <v>3.2</v>
      </c>
      <c r="L146" s="3">
        <v>33.1</v>
      </c>
      <c r="M146" s="3">
        <v>275</v>
      </c>
      <c r="N146" s="61">
        <f t="shared" si="2"/>
        <v>0.77924198250728871</v>
      </c>
      <c r="O146" s="3"/>
    </row>
    <row r="147" spans="1:16" ht="15" thickBot="1" x14ac:dyDescent="0.35">
      <c r="A147" s="18">
        <v>42887</v>
      </c>
      <c r="B147" s="402">
        <v>42900</v>
      </c>
      <c r="C147" s="17" t="s">
        <v>14</v>
      </c>
      <c r="D147" s="17" t="s">
        <v>94</v>
      </c>
      <c r="E147" s="408" t="s">
        <v>1142</v>
      </c>
      <c r="F147" s="3" t="s">
        <v>268</v>
      </c>
      <c r="G147" s="3" t="s">
        <v>277</v>
      </c>
      <c r="H147" s="385">
        <v>4.7</v>
      </c>
      <c r="I147" s="385">
        <v>4.3</v>
      </c>
      <c r="J147" s="386">
        <v>0.69820000000000004</v>
      </c>
      <c r="K147" s="385">
        <v>6.9</v>
      </c>
      <c r="L147" s="3">
        <v>70.3</v>
      </c>
      <c r="M147" s="3">
        <v>584.70000000000005</v>
      </c>
      <c r="N147" s="61">
        <f t="shared" si="2"/>
        <v>0.67249068125559841</v>
      </c>
      <c r="O147" s="3"/>
    </row>
    <row r="148" spans="1:16" ht="15" thickBot="1" x14ac:dyDescent="0.35">
      <c r="A148" s="18">
        <v>42887</v>
      </c>
      <c r="B148" s="402">
        <v>42900</v>
      </c>
      <c r="C148" s="17" t="s">
        <v>14</v>
      </c>
      <c r="D148" s="17" t="s">
        <v>94</v>
      </c>
      <c r="E148" s="408" t="s">
        <v>1143</v>
      </c>
      <c r="F148" s="3" t="s">
        <v>269</v>
      </c>
      <c r="G148" s="3" t="s">
        <v>277</v>
      </c>
      <c r="H148" s="385">
        <v>2.7</v>
      </c>
      <c r="I148" s="385">
        <v>2.5</v>
      </c>
      <c r="J148" s="386">
        <v>0.16300000000000001</v>
      </c>
      <c r="K148" s="385"/>
      <c r="L148" s="62">
        <v>20.7</v>
      </c>
      <c r="M148" s="3">
        <v>123.6</v>
      </c>
      <c r="N148" s="61">
        <f t="shared" si="2"/>
        <v>0.82812579383224094</v>
      </c>
      <c r="O148" s="3" t="s">
        <v>270</v>
      </c>
    </row>
    <row r="149" spans="1:16" s="48" customFormat="1" ht="15" thickBot="1" x14ac:dyDescent="0.35">
      <c r="A149" s="68">
        <v>42887</v>
      </c>
      <c r="B149" s="402">
        <v>42900</v>
      </c>
      <c r="C149" s="67" t="s">
        <v>14</v>
      </c>
      <c r="D149" s="67" t="s">
        <v>94</v>
      </c>
      <c r="E149" s="408" t="s">
        <v>1144</v>
      </c>
      <c r="F149" s="69" t="s">
        <v>269</v>
      </c>
      <c r="G149" s="69" t="s">
        <v>277</v>
      </c>
      <c r="H149" s="388">
        <v>3.2</v>
      </c>
      <c r="I149" s="388">
        <v>3</v>
      </c>
      <c r="J149" s="389">
        <v>0.189</v>
      </c>
      <c r="K149" s="388"/>
      <c r="L149" s="69">
        <v>19.600000000000001</v>
      </c>
      <c r="M149" s="69">
        <v>157.1</v>
      </c>
      <c r="N149" s="61">
        <f t="shared" si="2"/>
        <v>0.57678222656249978</v>
      </c>
      <c r="O149" s="69"/>
      <c r="P149"/>
    </row>
    <row r="150" spans="1:16" ht="15" thickBot="1" x14ac:dyDescent="0.35">
      <c r="A150" s="18">
        <v>42887</v>
      </c>
      <c r="B150" s="402">
        <v>42914</v>
      </c>
      <c r="C150" s="17" t="s">
        <v>14</v>
      </c>
      <c r="D150" s="17" t="s">
        <v>95</v>
      </c>
      <c r="E150" s="408" t="s">
        <v>1145</v>
      </c>
      <c r="F150" t="s">
        <v>280</v>
      </c>
      <c r="G150" t="s">
        <v>279</v>
      </c>
      <c r="H150" s="35">
        <v>4</v>
      </c>
      <c r="I150" s="35">
        <v>3.6</v>
      </c>
      <c r="J150" s="390">
        <v>0.50360000000000005</v>
      </c>
      <c r="K150" s="32">
        <v>2</v>
      </c>
      <c r="L150" s="37">
        <v>23.9</v>
      </c>
      <c r="M150" s="37">
        <v>419.7</v>
      </c>
      <c r="N150" s="61">
        <f t="shared" si="2"/>
        <v>0.7868750000000001</v>
      </c>
    </row>
    <row r="151" spans="1:16" ht="15" thickBot="1" x14ac:dyDescent="0.35">
      <c r="A151" s="18">
        <v>42887</v>
      </c>
      <c r="B151" s="402">
        <v>42914</v>
      </c>
      <c r="C151" s="17" t="s">
        <v>14</v>
      </c>
      <c r="D151" s="17" t="s">
        <v>95</v>
      </c>
      <c r="E151" s="408" t="s">
        <v>1146</v>
      </c>
      <c r="F151" t="s">
        <v>280</v>
      </c>
      <c r="G151" t="s">
        <v>279</v>
      </c>
      <c r="H151" s="35">
        <v>5.4</v>
      </c>
      <c r="I151" s="35">
        <v>4.9000000000000004</v>
      </c>
      <c r="J151" s="390">
        <v>1.2295</v>
      </c>
      <c r="K151" s="32">
        <v>12.9</v>
      </c>
      <c r="L151" s="37">
        <v>58.9</v>
      </c>
      <c r="M151" s="37">
        <v>1124.8</v>
      </c>
      <c r="N151" s="61">
        <f t="shared" si="2"/>
        <v>0.78081339226743884</v>
      </c>
    </row>
    <row r="152" spans="1:16" ht="15" thickBot="1" x14ac:dyDescent="0.35">
      <c r="A152" s="18">
        <v>42887</v>
      </c>
      <c r="B152" s="402">
        <v>42914</v>
      </c>
      <c r="C152" s="17" t="s">
        <v>14</v>
      </c>
      <c r="D152" s="17" t="s">
        <v>95</v>
      </c>
      <c r="E152" s="408" t="s">
        <v>1147</v>
      </c>
      <c r="F152" t="s">
        <v>280</v>
      </c>
      <c r="G152" t="s">
        <v>279</v>
      </c>
      <c r="H152" s="35">
        <v>5.6</v>
      </c>
      <c r="I152" s="35">
        <v>5.0999999999999996</v>
      </c>
      <c r="J152" s="390">
        <v>0.7671</v>
      </c>
      <c r="K152" s="32">
        <v>16.8</v>
      </c>
      <c r="L152" s="37">
        <v>69.099999999999994</v>
      </c>
      <c r="M152" s="37">
        <v>1179.5999999999999</v>
      </c>
      <c r="N152" s="61">
        <f t="shared" si="2"/>
        <v>0.43680530247813421</v>
      </c>
    </row>
    <row r="153" spans="1:16" ht="15" thickBot="1" x14ac:dyDescent="0.35">
      <c r="A153" s="18">
        <v>42887</v>
      </c>
      <c r="B153" s="402">
        <v>42914</v>
      </c>
      <c r="C153" s="17" t="s">
        <v>14</v>
      </c>
      <c r="D153" s="17" t="s">
        <v>95</v>
      </c>
      <c r="E153" s="408" t="s">
        <v>1148</v>
      </c>
      <c r="F153" t="s">
        <v>280</v>
      </c>
      <c r="G153" t="s">
        <v>279</v>
      </c>
      <c r="H153" s="35">
        <v>4.0999999999999996</v>
      </c>
      <c r="I153" s="35">
        <v>3.7</v>
      </c>
      <c r="J153" s="390">
        <v>0.52539999999999998</v>
      </c>
      <c r="K153" s="32">
        <v>5.3</v>
      </c>
      <c r="L153" s="37">
        <v>37.1</v>
      </c>
      <c r="M153" s="37">
        <v>461.4</v>
      </c>
      <c r="N153" s="61">
        <f t="shared" si="2"/>
        <v>0.76232207890193127</v>
      </c>
    </row>
    <row r="154" spans="1:16" ht="15" thickBot="1" x14ac:dyDescent="0.35">
      <c r="A154" s="18">
        <v>42887</v>
      </c>
      <c r="B154" s="402">
        <v>42914</v>
      </c>
      <c r="C154" s="17" t="s">
        <v>14</v>
      </c>
      <c r="D154" s="17" t="s">
        <v>95</v>
      </c>
      <c r="E154" s="408" t="s">
        <v>1149</v>
      </c>
      <c r="F154" t="s">
        <v>280</v>
      </c>
      <c r="G154" t="s">
        <v>279</v>
      </c>
      <c r="H154" s="35">
        <v>4.9000000000000004</v>
      </c>
      <c r="I154" s="35">
        <v>4.4000000000000004</v>
      </c>
      <c r="J154" s="390">
        <v>0.83</v>
      </c>
      <c r="K154" s="32">
        <v>9.6</v>
      </c>
      <c r="L154" s="37">
        <v>63.1</v>
      </c>
      <c r="M154" s="37">
        <v>720.8</v>
      </c>
      <c r="N154" s="61">
        <f t="shared" si="2"/>
        <v>0.705488359442069</v>
      </c>
    </row>
    <row r="155" spans="1:16" ht="15" thickBot="1" x14ac:dyDescent="0.35">
      <c r="A155" s="18">
        <v>42887</v>
      </c>
      <c r="B155" s="402">
        <v>42914</v>
      </c>
      <c r="C155" s="17" t="s">
        <v>14</v>
      </c>
      <c r="D155" s="17" t="s">
        <v>95</v>
      </c>
      <c r="E155" s="408" t="s">
        <v>1150</v>
      </c>
      <c r="F155" t="s">
        <v>280</v>
      </c>
      <c r="G155" t="s">
        <v>279</v>
      </c>
      <c r="H155" s="35">
        <v>6.1</v>
      </c>
      <c r="I155" s="35">
        <v>5.8</v>
      </c>
      <c r="J155" s="390">
        <v>1.8030999999999999</v>
      </c>
      <c r="K155" s="32">
        <v>25.7</v>
      </c>
      <c r="L155" s="37">
        <v>106.7</v>
      </c>
      <c r="M155" s="37">
        <v>1627.1</v>
      </c>
      <c r="N155" s="61">
        <f t="shared" si="2"/>
        <v>0.79438367087994177</v>
      </c>
    </row>
    <row r="156" spans="1:16" ht="15" thickBot="1" x14ac:dyDescent="0.35">
      <c r="A156" s="18">
        <v>42887</v>
      </c>
      <c r="B156" s="402">
        <v>42914</v>
      </c>
      <c r="C156" s="17" t="s">
        <v>14</v>
      </c>
      <c r="D156" s="17" t="s">
        <v>95</v>
      </c>
      <c r="E156" s="408" t="s">
        <v>1151</v>
      </c>
      <c r="F156" t="s">
        <v>280</v>
      </c>
      <c r="G156" t="s">
        <v>279</v>
      </c>
      <c r="H156" s="35">
        <v>5.3</v>
      </c>
      <c r="I156" s="35">
        <v>4.8</v>
      </c>
      <c r="J156" s="390">
        <v>1.0907</v>
      </c>
      <c r="K156" s="32">
        <v>12.7</v>
      </c>
      <c r="L156" s="37">
        <v>59.5</v>
      </c>
      <c r="M156" s="37">
        <v>985.2</v>
      </c>
      <c r="N156" s="61">
        <f t="shared" si="2"/>
        <v>0.73261820160266533</v>
      </c>
    </row>
    <row r="157" spans="1:16" ht="15" thickBot="1" x14ac:dyDescent="0.35">
      <c r="A157" s="18">
        <v>42887</v>
      </c>
      <c r="B157" s="402">
        <v>42914</v>
      </c>
      <c r="C157" s="17" t="s">
        <v>14</v>
      </c>
      <c r="D157" s="17" t="s">
        <v>95</v>
      </c>
      <c r="E157" s="408" t="s">
        <v>1152</v>
      </c>
      <c r="F157" t="s">
        <v>280</v>
      </c>
      <c r="G157" t="s">
        <v>279</v>
      </c>
      <c r="H157" s="35">
        <v>5.8</v>
      </c>
      <c r="I157" s="35">
        <v>5.3</v>
      </c>
      <c r="J157" s="390">
        <v>1.5272000000000001</v>
      </c>
      <c r="K157" s="32">
        <v>21.3</v>
      </c>
      <c r="L157" s="37">
        <v>63.8</v>
      </c>
      <c r="M157" s="37">
        <v>1384.7</v>
      </c>
      <c r="N157" s="61">
        <f t="shared" si="2"/>
        <v>0.78272991922588053</v>
      </c>
    </row>
    <row r="158" spans="1:16" ht="15" thickBot="1" x14ac:dyDescent="0.35">
      <c r="A158" s="18">
        <v>42887</v>
      </c>
      <c r="B158" s="402">
        <v>42914</v>
      </c>
      <c r="C158" s="17" t="s">
        <v>14</v>
      </c>
      <c r="D158" s="17" t="s">
        <v>95</v>
      </c>
      <c r="E158" s="408" t="s">
        <v>1153</v>
      </c>
      <c r="F158" t="s">
        <v>280</v>
      </c>
      <c r="G158" t="s">
        <v>279</v>
      </c>
      <c r="H158" s="35">
        <v>4</v>
      </c>
      <c r="I158" s="35">
        <v>3.5</v>
      </c>
      <c r="J158" s="390">
        <v>0.49510000000000004</v>
      </c>
      <c r="K158" s="32">
        <v>6.4</v>
      </c>
      <c r="L158" s="37">
        <v>28.2</v>
      </c>
      <c r="M158" s="37">
        <v>435.1</v>
      </c>
      <c r="N158" s="61">
        <f t="shared" si="2"/>
        <v>0.77359375000000008</v>
      </c>
    </row>
    <row r="159" spans="1:16" ht="15" thickBot="1" x14ac:dyDescent="0.35">
      <c r="A159" s="18">
        <v>42887</v>
      </c>
      <c r="B159" s="402">
        <v>42914</v>
      </c>
      <c r="C159" s="17" t="s">
        <v>14</v>
      </c>
      <c r="D159" s="17" t="s">
        <v>95</v>
      </c>
      <c r="E159" s="408" t="s">
        <v>1154</v>
      </c>
      <c r="F159" t="s">
        <v>280</v>
      </c>
      <c r="G159" t="s">
        <v>279</v>
      </c>
      <c r="H159" s="35">
        <v>5</v>
      </c>
      <c r="I159" s="35">
        <v>4.5999999999999996</v>
      </c>
      <c r="J159" s="390">
        <v>1.0097</v>
      </c>
      <c r="K159" s="32">
        <v>11.8</v>
      </c>
      <c r="L159" s="37">
        <v>62.5</v>
      </c>
      <c r="M159" s="37">
        <v>896.4</v>
      </c>
      <c r="N159" s="61">
        <f t="shared" si="2"/>
        <v>0.80776000000000003</v>
      </c>
    </row>
    <row r="160" spans="1:16" ht="15" thickBot="1" x14ac:dyDescent="0.35">
      <c r="A160" s="18">
        <v>42887</v>
      </c>
      <c r="B160" s="402">
        <v>42914</v>
      </c>
      <c r="C160" s="17" t="s">
        <v>14</v>
      </c>
      <c r="D160" s="17" t="s">
        <v>95</v>
      </c>
      <c r="E160" s="408" t="s">
        <v>1155</v>
      </c>
      <c r="F160" t="s">
        <v>280</v>
      </c>
      <c r="G160" t="s">
        <v>279</v>
      </c>
      <c r="H160" s="35">
        <v>5.4</v>
      </c>
      <c r="I160" s="35">
        <v>5</v>
      </c>
      <c r="J160" s="390">
        <v>1.1317999999999999</v>
      </c>
      <c r="K160" s="32">
        <v>12.7</v>
      </c>
      <c r="L160" s="37">
        <v>65.2</v>
      </c>
      <c r="M160" s="37">
        <v>1018</v>
      </c>
      <c r="N160" s="61">
        <f t="shared" si="2"/>
        <v>0.71876746430930227</v>
      </c>
    </row>
    <row r="161" spans="1:16" ht="15" thickBot="1" x14ac:dyDescent="0.35">
      <c r="A161" s="18">
        <v>42887</v>
      </c>
      <c r="B161" s="402">
        <v>42914</v>
      </c>
      <c r="C161" s="17" t="s">
        <v>14</v>
      </c>
      <c r="D161" s="17" t="s">
        <v>95</v>
      </c>
      <c r="E161" s="408" t="s">
        <v>1156</v>
      </c>
      <c r="F161" t="s">
        <v>280</v>
      </c>
      <c r="G161" t="s">
        <v>279</v>
      </c>
      <c r="H161" s="35">
        <v>5.7</v>
      </c>
      <c r="I161" s="35">
        <v>5.3</v>
      </c>
      <c r="J161" s="390">
        <v>1.4645999999999999</v>
      </c>
      <c r="K161" s="32">
        <v>11.5</v>
      </c>
      <c r="L161" s="37">
        <v>111.4</v>
      </c>
      <c r="M161" s="37">
        <v>1273.4000000000001</v>
      </c>
      <c r="N161" s="61">
        <f t="shared" si="2"/>
        <v>0.79085062610357826</v>
      </c>
    </row>
    <row r="162" spans="1:16" ht="15" thickBot="1" x14ac:dyDescent="0.35">
      <c r="A162" s="18">
        <v>42887</v>
      </c>
      <c r="B162" s="402">
        <v>42914</v>
      </c>
      <c r="C162" s="17" t="s">
        <v>14</v>
      </c>
      <c r="D162" s="17" t="s">
        <v>95</v>
      </c>
      <c r="E162" s="408" t="s">
        <v>1157</v>
      </c>
      <c r="F162" t="s">
        <v>280</v>
      </c>
      <c r="G162" t="s">
        <v>279</v>
      </c>
      <c r="H162" s="35">
        <v>4.9000000000000004</v>
      </c>
      <c r="I162" s="35">
        <v>0.4</v>
      </c>
      <c r="J162" s="390">
        <v>0.71150000000000002</v>
      </c>
      <c r="K162" s="32">
        <v>4.2</v>
      </c>
      <c r="L162" s="37">
        <v>40.6</v>
      </c>
      <c r="M162" s="37">
        <v>629.1</v>
      </c>
      <c r="N162" s="61">
        <f t="shared" si="2"/>
        <v>0.60476502137714716</v>
      </c>
    </row>
    <row r="163" spans="1:16" ht="15" thickBot="1" x14ac:dyDescent="0.35">
      <c r="A163" s="18">
        <v>42887</v>
      </c>
      <c r="B163" s="402">
        <v>42914</v>
      </c>
      <c r="C163" s="17" t="s">
        <v>14</v>
      </c>
      <c r="D163" s="17" t="s">
        <v>95</v>
      </c>
      <c r="E163" s="408" t="s">
        <v>1158</v>
      </c>
      <c r="F163" t="s">
        <v>280</v>
      </c>
      <c r="G163" t="s">
        <v>279</v>
      </c>
      <c r="H163" s="35">
        <v>5.5</v>
      </c>
      <c r="I163" s="35">
        <v>5.0999999999999996</v>
      </c>
      <c r="J163" s="390">
        <v>1.2719</v>
      </c>
      <c r="K163" s="32">
        <v>16.8</v>
      </c>
      <c r="L163" s="37">
        <v>73</v>
      </c>
      <c r="M163" s="37">
        <v>1136</v>
      </c>
      <c r="N163" s="61">
        <f t="shared" si="2"/>
        <v>0.7644778362133734</v>
      </c>
    </row>
    <row r="164" spans="1:16" ht="15" thickBot="1" x14ac:dyDescent="0.35">
      <c r="A164" s="18">
        <v>42887</v>
      </c>
      <c r="B164" s="402">
        <v>42914</v>
      </c>
      <c r="C164" s="17" t="s">
        <v>14</v>
      </c>
      <c r="D164" s="17" t="s">
        <v>95</v>
      </c>
      <c r="E164" s="408" t="s">
        <v>1159</v>
      </c>
      <c r="F164" t="s">
        <v>280</v>
      </c>
      <c r="G164" t="s">
        <v>279</v>
      </c>
      <c r="H164" s="35">
        <v>4.4000000000000004</v>
      </c>
      <c r="I164" s="35">
        <v>4.2</v>
      </c>
      <c r="J164" s="390">
        <v>0.62749999999999995</v>
      </c>
      <c r="K164" s="32">
        <v>5.2</v>
      </c>
      <c r="L164" s="37">
        <v>37.299999999999997</v>
      </c>
      <c r="M164" s="37">
        <v>542.6</v>
      </c>
      <c r="N164" s="61">
        <f t="shared" si="2"/>
        <v>0.73664068369646851</v>
      </c>
    </row>
    <row r="165" spans="1:16" ht="15" thickBot="1" x14ac:dyDescent="0.35">
      <c r="A165" s="18">
        <v>42887</v>
      </c>
      <c r="B165" s="402">
        <v>42914</v>
      </c>
      <c r="C165" s="17" t="s">
        <v>14</v>
      </c>
      <c r="D165" s="17" t="s">
        <v>95</v>
      </c>
      <c r="E165" s="408" t="s">
        <v>1160</v>
      </c>
      <c r="F165" t="s">
        <v>280</v>
      </c>
      <c r="G165" t="s">
        <v>279</v>
      </c>
      <c r="H165" s="35">
        <v>4.3</v>
      </c>
      <c r="I165" s="35">
        <v>3.9</v>
      </c>
      <c r="J165" s="390">
        <v>0.53959999999999997</v>
      </c>
      <c r="K165" s="32">
        <v>4.9000000000000004</v>
      </c>
      <c r="L165" s="37">
        <v>35.299999999999997</v>
      </c>
      <c r="M165" s="37">
        <v>471.2</v>
      </c>
      <c r="N165" s="61">
        <f t="shared" si="2"/>
        <v>0.67868238016778393</v>
      </c>
    </row>
    <row r="166" spans="1:16" ht="15" thickBot="1" x14ac:dyDescent="0.35">
      <c r="A166" s="18">
        <v>42887</v>
      </c>
      <c r="B166" s="402">
        <v>42914</v>
      </c>
      <c r="C166" s="17" t="s">
        <v>14</v>
      </c>
      <c r="D166" s="17" t="s">
        <v>95</v>
      </c>
      <c r="E166" s="408" t="s">
        <v>1161</v>
      </c>
      <c r="F166" t="s">
        <v>280</v>
      </c>
      <c r="G166" t="s">
        <v>279</v>
      </c>
      <c r="H166" s="35">
        <v>5</v>
      </c>
      <c r="I166" s="35">
        <v>4.5999999999999996</v>
      </c>
      <c r="J166" s="390">
        <v>0.96779999999999999</v>
      </c>
      <c r="K166" s="32">
        <v>10.9</v>
      </c>
      <c r="L166" s="37">
        <v>43.2</v>
      </c>
      <c r="M166" s="37">
        <v>869.8</v>
      </c>
      <c r="N166" s="61">
        <f t="shared" si="2"/>
        <v>0.77424000000000004</v>
      </c>
    </row>
    <row r="167" spans="1:16" ht="15" thickBot="1" x14ac:dyDescent="0.35">
      <c r="A167" s="18">
        <v>42887</v>
      </c>
      <c r="B167" s="402">
        <v>42914</v>
      </c>
      <c r="C167" s="17" t="s">
        <v>14</v>
      </c>
      <c r="D167" s="17" t="s">
        <v>95</v>
      </c>
      <c r="E167" s="408" t="s">
        <v>1162</v>
      </c>
      <c r="F167" t="s">
        <v>280</v>
      </c>
      <c r="G167" t="s">
        <v>279</v>
      </c>
      <c r="H167" s="35">
        <v>4.5999999999999996</v>
      </c>
      <c r="I167" s="35">
        <v>4.2</v>
      </c>
      <c r="J167" s="390">
        <v>0.70510000000000006</v>
      </c>
      <c r="K167" s="32">
        <v>5.3</v>
      </c>
      <c r="L167" s="37">
        <v>39.5</v>
      </c>
      <c r="M167" s="37">
        <v>619.5</v>
      </c>
      <c r="N167" s="61">
        <f t="shared" si="2"/>
        <v>0.72439796169967974</v>
      </c>
    </row>
    <row r="168" spans="1:16" ht="15" thickBot="1" x14ac:dyDescent="0.35">
      <c r="A168" s="18">
        <v>42887</v>
      </c>
      <c r="B168" s="402">
        <v>42914</v>
      </c>
      <c r="C168" s="17" t="s">
        <v>14</v>
      </c>
      <c r="D168" s="17" t="s">
        <v>95</v>
      </c>
      <c r="E168" s="408" t="s">
        <v>1163</v>
      </c>
      <c r="F168" t="s">
        <v>280</v>
      </c>
      <c r="G168" t="s">
        <v>279</v>
      </c>
      <c r="H168" s="35">
        <v>6.4</v>
      </c>
      <c r="I168" s="35">
        <v>5.9</v>
      </c>
      <c r="J168" s="390">
        <v>2.0066999999999999</v>
      </c>
      <c r="K168" s="32">
        <v>26.5</v>
      </c>
      <c r="L168" s="37">
        <v>111.8</v>
      </c>
      <c r="M168" s="37">
        <v>1801.1</v>
      </c>
      <c r="N168" s="61">
        <f t="shared" si="2"/>
        <v>0.76549530029296853</v>
      </c>
    </row>
    <row r="169" spans="1:16" s="48" customFormat="1" ht="15" thickBot="1" x14ac:dyDescent="0.35">
      <c r="A169" s="68">
        <v>42887</v>
      </c>
      <c r="B169" s="402">
        <v>42914</v>
      </c>
      <c r="C169" s="67" t="s">
        <v>14</v>
      </c>
      <c r="D169" s="67" t="s">
        <v>95</v>
      </c>
      <c r="E169" s="408" t="s">
        <v>1164</v>
      </c>
      <c r="F169" s="48" t="s">
        <v>280</v>
      </c>
      <c r="G169" s="48" t="s">
        <v>279</v>
      </c>
      <c r="H169" s="190">
        <v>5.3</v>
      </c>
      <c r="I169" s="190">
        <v>4.8</v>
      </c>
      <c r="J169" s="396">
        <v>1.2457</v>
      </c>
      <c r="K169" s="190">
        <v>16.5</v>
      </c>
      <c r="L169" s="48">
        <v>67.099999999999994</v>
      </c>
      <c r="M169" s="48">
        <v>1118.5</v>
      </c>
      <c r="N169" s="61">
        <f t="shared" si="2"/>
        <v>0.83673099269867091</v>
      </c>
      <c r="P169"/>
    </row>
    <row r="170" spans="1:16" ht="15" thickBot="1" x14ac:dyDescent="0.35">
      <c r="A170" s="18">
        <v>42887</v>
      </c>
      <c r="B170" s="402">
        <v>42896</v>
      </c>
      <c r="C170" t="s">
        <v>15</v>
      </c>
      <c r="D170" t="s">
        <v>96</v>
      </c>
      <c r="E170" s="408" t="s">
        <v>1165</v>
      </c>
      <c r="F170" t="s">
        <v>281</v>
      </c>
      <c r="G170" t="s">
        <v>277</v>
      </c>
      <c r="H170" s="35">
        <v>2.5</v>
      </c>
      <c r="I170" s="35">
        <v>2.1</v>
      </c>
      <c r="J170" s="399">
        <v>7.9000000000000001E-2</v>
      </c>
      <c r="L170" s="37"/>
      <c r="M170" s="37"/>
      <c r="N170" s="61">
        <f t="shared" si="2"/>
        <v>0.50560000000000005</v>
      </c>
    </row>
    <row r="171" spans="1:16" ht="15" thickBot="1" x14ac:dyDescent="0.35">
      <c r="A171" s="18">
        <v>42887</v>
      </c>
      <c r="B171" s="402">
        <v>42896</v>
      </c>
      <c r="C171" t="s">
        <v>15</v>
      </c>
      <c r="D171" t="s">
        <v>96</v>
      </c>
      <c r="E171" s="408" t="s">
        <v>1166</v>
      </c>
      <c r="F171" t="s">
        <v>281</v>
      </c>
      <c r="G171" t="s">
        <v>277</v>
      </c>
      <c r="H171" s="35">
        <v>2.7</v>
      </c>
      <c r="I171" s="35">
        <v>2.4</v>
      </c>
      <c r="J171" s="399">
        <v>0.1052</v>
      </c>
      <c r="L171" s="37">
        <v>12.4</v>
      </c>
      <c r="M171" s="37">
        <v>85.5</v>
      </c>
      <c r="N171" s="61">
        <f t="shared" si="2"/>
        <v>0.53447137123405974</v>
      </c>
      <c r="O171" t="s">
        <v>270</v>
      </c>
    </row>
    <row r="172" spans="1:16" ht="15" thickBot="1" x14ac:dyDescent="0.35">
      <c r="A172" s="18">
        <v>42887</v>
      </c>
      <c r="B172" s="402">
        <v>42896</v>
      </c>
      <c r="C172" t="s">
        <v>15</v>
      </c>
      <c r="D172" t="s">
        <v>96</v>
      </c>
      <c r="E172" s="408" t="s">
        <v>1167</v>
      </c>
      <c r="F172" t="s">
        <v>281</v>
      </c>
      <c r="G172" t="s">
        <v>277</v>
      </c>
      <c r="H172" s="35">
        <v>3.4</v>
      </c>
      <c r="I172" s="35">
        <v>3</v>
      </c>
      <c r="J172" s="399">
        <v>0.2384</v>
      </c>
      <c r="K172" s="35">
        <v>0.7</v>
      </c>
      <c r="L172" s="2">
        <v>23.5</v>
      </c>
      <c r="M172" s="2">
        <v>203</v>
      </c>
      <c r="N172" s="61">
        <f t="shared" si="2"/>
        <v>0.60655404030124171</v>
      </c>
    </row>
    <row r="173" spans="1:16" ht="15" thickBot="1" x14ac:dyDescent="0.35">
      <c r="A173" s="18">
        <v>42887</v>
      </c>
      <c r="B173" s="402">
        <v>42896</v>
      </c>
      <c r="C173" t="s">
        <v>15</v>
      </c>
      <c r="D173" t="s">
        <v>96</v>
      </c>
      <c r="E173" s="408" t="s">
        <v>1168</v>
      </c>
      <c r="F173" t="s">
        <v>281</v>
      </c>
      <c r="G173" t="s">
        <v>277</v>
      </c>
      <c r="H173" s="35">
        <v>2.2999999999999998</v>
      </c>
      <c r="I173" s="35">
        <v>2</v>
      </c>
      <c r="J173" s="399">
        <v>0.10009999999999999</v>
      </c>
      <c r="N173" s="61">
        <f t="shared" si="2"/>
        <v>0.82271718583052544</v>
      </c>
    </row>
    <row r="174" spans="1:16" ht="15" thickBot="1" x14ac:dyDescent="0.35">
      <c r="A174" s="18">
        <v>42887</v>
      </c>
      <c r="B174" s="402">
        <v>42900</v>
      </c>
      <c r="C174" t="s">
        <v>15</v>
      </c>
      <c r="D174" t="s">
        <v>96</v>
      </c>
      <c r="E174" s="408" t="s">
        <v>1169</v>
      </c>
      <c r="F174" t="s">
        <v>282</v>
      </c>
      <c r="G174" t="s">
        <v>277</v>
      </c>
      <c r="H174" s="35">
        <v>3.8</v>
      </c>
      <c r="I174" s="35">
        <v>3.4</v>
      </c>
      <c r="J174" s="399">
        <v>0.33610000000000001</v>
      </c>
      <c r="K174" s="35">
        <v>1.9</v>
      </c>
      <c r="L174">
        <v>15</v>
      </c>
      <c r="M174">
        <v>300.7</v>
      </c>
      <c r="N174" s="61">
        <f t="shared" si="2"/>
        <v>0.61251640180784372</v>
      </c>
    </row>
    <row r="175" spans="1:16" ht="15" thickBot="1" x14ac:dyDescent="0.35">
      <c r="A175" s="18">
        <v>42887</v>
      </c>
      <c r="B175" s="402">
        <v>42900</v>
      </c>
      <c r="C175" t="s">
        <v>15</v>
      </c>
      <c r="D175" t="s">
        <v>96</v>
      </c>
      <c r="E175" s="408" t="s">
        <v>1170</v>
      </c>
      <c r="F175" t="s">
        <v>282</v>
      </c>
      <c r="G175" t="s">
        <v>277</v>
      </c>
      <c r="H175" s="35">
        <v>3.2</v>
      </c>
      <c r="I175" s="35">
        <v>2.9</v>
      </c>
      <c r="J175" s="399">
        <v>0.2102</v>
      </c>
      <c r="L175">
        <v>15.1</v>
      </c>
      <c r="M175">
        <v>181.8</v>
      </c>
      <c r="N175" s="61">
        <f t="shared" si="2"/>
        <v>0.64147949218749989</v>
      </c>
    </row>
    <row r="176" spans="1:16" ht="15" thickBot="1" x14ac:dyDescent="0.35">
      <c r="A176" s="18">
        <v>42887</v>
      </c>
      <c r="B176" s="402">
        <v>42896</v>
      </c>
      <c r="C176" t="s">
        <v>15</v>
      </c>
      <c r="D176" t="s">
        <v>96</v>
      </c>
      <c r="E176" s="408" t="s">
        <v>1171</v>
      </c>
      <c r="F176" t="s">
        <v>283</v>
      </c>
      <c r="G176" t="s">
        <v>277</v>
      </c>
      <c r="H176" s="35">
        <v>2.5</v>
      </c>
      <c r="I176" s="35">
        <v>1.9</v>
      </c>
      <c r="J176" s="399">
        <v>9.5000000000000001E-2</v>
      </c>
      <c r="L176">
        <v>15</v>
      </c>
      <c r="M176">
        <v>66.7</v>
      </c>
      <c r="N176" s="61">
        <f t="shared" si="2"/>
        <v>0.60799999999999998</v>
      </c>
      <c r="O176" t="s">
        <v>270</v>
      </c>
    </row>
    <row r="177" spans="1:15" ht="15" thickBot="1" x14ac:dyDescent="0.35">
      <c r="A177" s="18">
        <v>42887</v>
      </c>
      <c r="B177" s="402">
        <v>42896</v>
      </c>
      <c r="C177" t="s">
        <v>15</v>
      </c>
      <c r="D177" t="s">
        <v>96</v>
      </c>
      <c r="E177" s="408" t="s">
        <v>1172</v>
      </c>
      <c r="F177" t="s">
        <v>283</v>
      </c>
      <c r="G177" t="s">
        <v>277</v>
      </c>
      <c r="H177" s="35">
        <v>3.4</v>
      </c>
      <c r="I177" s="35">
        <v>2.9</v>
      </c>
      <c r="J177" s="399">
        <v>0.31080000000000002</v>
      </c>
      <c r="K177" s="35">
        <v>4.4000000000000004</v>
      </c>
      <c r="L177">
        <v>25.8</v>
      </c>
      <c r="M177">
        <v>255.5</v>
      </c>
      <c r="N177" s="61">
        <f t="shared" si="2"/>
        <v>0.79075921025849805</v>
      </c>
    </row>
    <row r="178" spans="1:15" ht="15" thickBot="1" x14ac:dyDescent="0.35">
      <c r="A178" s="18">
        <v>42887</v>
      </c>
      <c r="B178" s="402">
        <v>42896</v>
      </c>
      <c r="C178" t="s">
        <v>15</v>
      </c>
      <c r="D178" t="s">
        <v>96</v>
      </c>
      <c r="E178" s="408" t="s">
        <v>1173</v>
      </c>
      <c r="F178" t="s">
        <v>283</v>
      </c>
      <c r="G178" t="s">
        <v>277</v>
      </c>
      <c r="H178" s="35">
        <v>2.9</v>
      </c>
      <c r="I178" s="35">
        <v>2.5</v>
      </c>
      <c r="J178" s="399">
        <v>0.1454</v>
      </c>
      <c r="L178">
        <v>7.3</v>
      </c>
      <c r="M178">
        <v>122.8</v>
      </c>
      <c r="N178" s="61">
        <f t="shared" si="2"/>
        <v>0.59617040469063931</v>
      </c>
    </row>
    <row r="179" spans="1:15" ht="15" thickBot="1" x14ac:dyDescent="0.35">
      <c r="A179" s="18">
        <v>42887</v>
      </c>
      <c r="B179" s="402">
        <v>42896</v>
      </c>
      <c r="C179" t="s">
        <v>15</v>
      </c>
      <c r="D179" t="s">
        <v>96</v>
      </c>
      <c r="E179" s="408" t="s">
        <v>1174</v>
      </c>
      <c r="F179" t="s">
        <v>283</v>
      </c>
      <c r="G179" t="s">
        <v>277</v>
      </c>
      <c r="H179" s="35">
        <v>2.4</v>
      </c>
      <c r="I179" s="35">
        <v>2.2000000000000002</v>
      </c>
      <c r="J179" s="399">
        <v>9.7500000000000003E-2</v>
      </c>
      <c r="N179" s="61">
        <f t="shared" si="2"/>
        <v>0.70529513888888895</v>
      </c>
    </row>
    <row r="180" spans="1:15" ht="15" thickBot="1" x14ac:dyDescent="0.35">
      <c r="A180" s="18">
        <v>42887</v>
      </c>
      <c r="B180" s="402">
        <v>42896</v>
      </c>
      <c r="C180" t="s">
        <v>15</v>
      </c>
      <c r="D180" t="s">
        <v>96</v>
      </c>
      <c r="E180" s="408" t="s">
        <v>1175</v>
      </c>
      <c r="F180" t="s">
        <v>283</v>
      </c>
      <c r="G180" t="s">
        <v>277</v>
      </c>
      <c r="H180" s="35">
        <v>2.2999999999999998</v>
      </c>
      <c r="I180" s="35">
        <v>2</v>
      </c>
      <c r="J180" s="399">
        <v>0.1033</v>
      </c>
      <c r="L180">
        <v>7.3</v>
      </c>
      <c r="M180">
        <v>84.2</v>
      </c>
      <c r="N180" s="61">
        <f t="shared" si="2"/>
        <v>0.84901783512780493</v>
      </c>
    </row>
    <row r="181" spans="1:15" ht="15" thickBot="1" x14ac:dyDescent="0.35">
      <c r="A181" s="18">
        <v>42887</v>
      </c>
      <c r="B181" s="402">
        <v>42896</v>
      </c>
      <c r="C181" t="s">
        <v>15</v>
      </c>
      <c r="D181" t="s">
        <v>96</v>
      </c>
      <c r="E181" s="408" t="s">
        <v>1176</v>
      </c>
      <c r="F181" t="s">
        <v>283</v>
      </c>
      <c r="G181" t="s">
        <v>277</v>
      </c>
      <c r="H181" s="35">
        <v>3.7</v>
      </c>
      <c r="I181" s="35">
        <v>3.2</v>
      </c>
      <c r="J181" s="399">
        <v>0.35160000000000002</v>
      </c>
      <c r="K181" s="35">
        <v>6.2</v>
      </c>
      <c r="L181">
        <v>25.8</v>
      </c>
      <c r="M181">
        <v>287</v>
      </c>
      <c r="N181" s="61">
        <f t="shared" si="2"/>
        <v>0.69413460209661815</v>
      </c>
    </row>
    <row r="182" spans="1:15" ht="15" thickBot="1" x14ac:dyDescent="0.35">
      <c r="A182" s="18">
        <v>42887</v>
      </c>
      <c r="B182" s="402">
        <v>42896</v>
      </c>
      <c r="C182" t="s">
        <v>15</v>
      </c>
      <c r="D182" t="s">
        <v>96</v>
      </c>
      <c r="E182" s="408" t="s">
        <v>1177</v>
      </c>
      <c r="F182" t="s">
        <v>283</v>
      </c>
      <c r="G182" t="s">
        <v>277</v>
      </c>
      <c r="H182" s="35">
        <v>3.5</v>
      </c>
      <c r="I182" s="35">
        <v>3.1</v>
      </c>
      <c r="J182" s="399">
        <v>0.33150000000000002</v>
      </c>
      <c r="K182" s="35">
        <v>8.6</v>
      </c>
      <c r="L182">
        <v>31.5</v>
      </c>
      <c r="M182">
        <v>268.10000000000002</v>
      </c>
      <c r="N182" s="61">
        <f t="shared" si="2"/>
        <v>0.77317784256559763</v>
      </c>
    </row>
    <row r="183" spans="1:15" ht="15" thickBot="1" x14ac:dyDescent="0.35">
      <c r="A183" s="18">
        <v>42887</v>
      </c>
      <c r="B183" s="402">
        <v>42896</v>
      </c>
      <c r="C183" t="s">
        <v>15</v>
      </c>
      <c r="D183" t="s">
        <v>96</v>
      </c>
      <c r="E183" s="408" t="s">
        <v>1178</v>
      </c>
      <c r="F183" t="s">
        <v>283</v>
      </c>
      <c r="G183" t="s">
        <v>277</v>
      </c>
      <c r="H183" s="35">
        <v>3.3</v>
      </c>
      <c r="I183" s="35">
        <v>3</v>
      </c>
      <c r="J183" s="399">
        <v>0.26830000000000004</v>
      </c>
      <c r="L183">
        <v>30.9</v>
      </c>
      <c r="M183">
        <v>209</v>
      </c>
      <c r="N183" s="61">
        <f t="shared" si="2"/>
        <v>0.7465843003033088</v>
      </c>
      <c r="O183" t="s">
        <v>284</v>
      </c>
    </row>
    <row r="184" spans="1:15" ht="15" thickBot="1" x14ac:dyDescent="0.35">
      <c r="A184" s="18">
        <v>42887</v>
      </c>
      <c r="B184" s="402">
        <v>42896</v>
      </c>
      <c r="C184" t="s">
        <v>15</v>
      </c>
      <c r="D184" t="s">
        <v>96</v>
      </c>
      <c r="E184" s="408" t="s">
        <v>1179</v>
      </c>
      <c r="F184" t="s">
        <v>283</v>
      </c>
      <c r="G184" t="s">
        <v>277</v>
      </c>
      <c r="H184" s="35">
        <v>3.6</v>
      </c>
      <c r="I184" s="35">
        <v>3.4</v>
      </c>
      <c r="J184" s="399">
        <v>0.1706</v>
      </c>
      <c r="L184">
        <v>17.3</v>
      </c>
      <c r="M184">
        <v>144.30000000000001</v>
      </c>
      <c r="N184" s="61">
        <f t="shared" si="2"/>
        <v>0.3656550068587105</v>
      </c>
      <c r="O184" t="s">
        <v>284</v>
      </c>
    </row>
    <row r="185" spans="1:15" ht="15" thickBot="1" x14ac:dyDescent="0.35">
      <c r="A185" s="18">
        <v>42887</v>
      </c>
      <c r="B185" s="402">
        <v>42896</v>
      </c>
      <c r="C185" t="s">
        <v>15</v>
      </c>
      <c r="D185" t="s">
        <v>96</v>
      </c>
      <c r="E185" s="408" t="s">
        <v>1180</v>
      </c>
      <c r="F185" t="s">
        <v>283</v>
      </c>
      <c r="G185" t="s">
        <v>277</v>
      </c>
      <c r="H185" s="35">
        <v>4.4000000000000004</v>
      </c>
      <c r="I185" s="35">
        <v>4</v>
      </c>
      <c r="J185" s="399">
        <v>0.6391</v>
      </c>
      <c r="K185" s="35">
        <v>14.5</v>
      </c>
      <c r="L185">
        <v>60.2</v>
      </c>
      <c r="M185">
        <v>529.6</v>
      </c>
      <c r="N185" s="61">
        <f t="shared" si="2"/>
        <v>0.75025826446280963</v>
      </c>
    </row>
    <row r="186" spans="1:15" ht="15" thickBot="1" x14ac:dyDescent="0.35">
      <c r="A186" s="18">
        <v>42887</v>
      </c>
      <c r="B186" s="402">
        <v>42896</v>
      </c>
      <c r="C186" t="s">
        <v>15</v>
      </c>
      <c r="D186" t="s">
        <v>96</v>
      </c>
      <c r="E186" s="408" t="s">
        <v>1181</v>
      </c>
      <c r="F186" t="s">
        <v>283</v>
      </c>
      <c r="G186" t="s">
        <v>277</v>
      </c>
      <c r="H186" s="35">
        <v>3.8</v>
      </c>
      <c r="I186" s="35">
        <v>3.4</v>
      </c>
      <c r="J186" s="399">
        <v>0.41739999999999999</v>
      </c>
      <c r="L186">
        <v>28.8</v>
      </c>
      <c r="M186">
        <v>366.7</v>
      </c>
      <c r="N186" s="61">
        <f t="shared" si="2"/>
        <v>0.76067939932934847</v>
      </c>
    </row>
    <row r="187" spans="1:15" ht="15" thickBot="1" x14ac:dyDescent="0.35">
      <c r="A187" s="18">
        <v>42887</v>
      </c>
      <c r="B187" s="402">
        <v>42896</v>
      </c>
      <c r="C187" t="s">
        <v>15</v>
      </c>
      <c r="D187" t="s">
        <v>96</v>
      </c>
      <c r="E187" s="408" t="s">
        <v>1182</v>
      </c>
      <c r="F187" t="s">
        <v>283</v>
      </c>
      <c r="G187" t="s">
        <v>277</v>
      </c>
      <c r="H187" s="35">
        <v>2.6</v>
      </c>
      <c r="I187" s="35">
        <v>2.4</v>
      </c>
      <c r="J187" s="399">
        <v>0.1265</v>
      </c>
      <c r="L187">
        <v>9.1</v>
      </c>
      <c r="M187">
        <v>103.5</v>
      </c>
      <c r="N187" s="61">
        <f t="shared" si="2"/>
        <v>0.71973145197997257</v>
      </c>
    </row>
    <row r="188" spans="1:15" ht="15" thickBot="1" x14ac:dyDescent="0.35">
      <c r="A188" s="18">
        <v>42887</v>
      </c>
      <c r="B188" s="402">
        <v>42896</v>
      </c>
      <c r="C188" t="s">
        <v>15</v>
      </c>
      <c r="D188" t="s">
        <v>96</v>
      </c>
      <c r="E188" s="408" t="s">
        <v>1183</v>
      </c>
      <c r="F188" t="s">
        <v>283</v>
      </c>
      <c r="G188" t="s">
        <v>277</v>
      </c>
      <c r="H188" s="35">
        <v>2.7</v>
      </c>
      <c r="I188" s="35">
        <v>2.4</v>
      </c>
      <c r="J188" s="399">
        <v>0.14099999999999999</v>
      </c>
      <c r="L188">
        <v>17.3</v>
      </c>
      <c r="M188">
        <v>109.6</v>
      </c>
      <c r="N188" s="61">
        <f t="shared" si="2"/>
        <v>0.71635421429660084</v>
      </c>
      <c r="O188" t="s">
        <v>284</v>
      </c>
    </row>
    <row r="189" spans="1:15" ht="15" thickBot="1" x14ac:dyDescent="0.35">
      <c r="A189" s="18">
        <v>42887</v>
      </c>
      <c r="B189" s="402">
        <v>42896</v>
      </c>
      <c r="C189" t="s">
        <v>15</v>
      </c>
      <c r="D189" t="s">
        <v>96</v>
      </c>
      <c r="E189" s="408" t="s">
        <v>1184</v>
      </c>
      <c r="F189" t="s">
        <v>283</v>
      </c>
      <c r="G189" t="s">
        <v>277</v>
      </c>
      <c r="H189" s="35">
        <v>2.8</v>
      </c>
      <c r="I189" s="35">
        <v>2.5</v>
      </c>
      <c r="J189" s="399">
        <v>0.16159999999999999</v>
      </c>
      <c r="K189" s="35">
        <v>7.2</v>
      </c>
      <c r="L189">
        <v>8.1999999999999993</v>
      </c>
      <c r="M189">
        <v>119.7</v>
      </c>
      <c r="N189" s="61">
        <f t="shared" si="2"/>
        <v>0.73615160349854247</v>
      </c>
    </row>
    <row r="190" spans="1:15" ht="15" thickBot="1" x14ac:dyDescent="0.35">
      <c r="A190" s="18">
        <v>42887</v>
      </c>
      <c r="B190" s="402">
        <v>42900</v>
      </c>
      <c r="C190" t="s">
        <v>15</v>
      </c>
      <c r="D190" t="s">
        <v>96</v>
      </c>
      <c r="E190" s="408" t="s">
        <v>1185</v>
      </c>
      <c r="F190" t="s">
        <v>285</v>
      </c>
      <c r="G190" t="s">
        <v>277</v>
      </c>
      <c r="H190" s="35">
        <v>3.5</v>
      </c>
      <c r="I190" s="35">
        <v>3</v>
      </c>
      <c r="J190" s="399">
        <v>0.3085</v>
      </c>
      <c r="K190" s="35">
        <v>9.3000000000000007</v>
      </c>
      <c r="L190">
        <v>20.6</v>
      </c>
      <c r="M190">
        <v>251.5</v>
      </c>
      <c r="N190" s="61">
        <f t="shared" si="2"/>
        <v>0.71953352769679302</v>
      </c>
    </row>
    <row r="191" spans="1:15" ht="15" thickBot="1" x14ac:dyDescent="0.35">
      <c r="A191" s="18">
        <v>42887</v>
      </c>
      <c r="B191" s="402">
        <v>42900</v>
      </c>
      <c r="C191" t="s">
        <v>15</v>
      </c>
      <c r="D191" t="s">
        <v>96</v>
      </c>
      <c r="E191" s="408" t="s">
        <v>1186</v>
      </c>
      <c r="F191" t="s">
        <v>285</v>
      </c>
      <c r="G191" t="s">
        <v>277</v>
      </c>
      <c r="H191" s="35">
        <v>3.3</v>
      </c>
      <c r="I191" s="35">
        <v>3</v>
      </c>
      <c r="J191" s="399">
        <v>0.35010000000000002</v>
      </c>
      <c r="K191" s="35">
        <v>10.6</v>
      </c>
      <c r="L191">
        <v>17.7</v>
      </c>
      <c r="M191">
        <v>276.2</v>
      </c>
      <c r="N191" s="61">
        <f t="shared" si="2"/>
        <v>0.97420485850237937</v>
      </c>
    </row>
    <row r="192" spans="1:15" ht="15" thickBot="1" x14ac:dyDescent="0.35">
      <c r="A192" s="18">
        <v>42887</v>
      </c>
      <c r="B192" s="402">
        <v>42900</v>
      </c>
      <c r="C192" t="s">
        <v>15</v>
      </c>
      <c r="D192" t="s">
        <v>96</v>
      </c>
      <c r="E192" s="408" t="s">
        <v>1187</v>
      </c>
      <c r="F192" t="s">
        <v>285</v>
      </c>
      <c r="G192" t="s">
        <v>277</v>
      </c>
      <c r="H192" s="35">
        <v>2.8</v>
      </c>
      <c r="I192" s="35">
        <v>2.4</v>
      </c>
      <c r="J192" s="399">
        <v>0.22869999999999999</v>
      </c>
      <c r="K192" s="35">
        <v>0.8</v>
      </c>
      <c r="L192">
        <v>9.1</v>
      </c>
      <c r="M192">
        <v>190.2</v>
      </c>
      <c r="N192" s="61">
        <f t="shared" si="2"/>
        <v>1.0418185131195337</v>
      </c>
    </row>
    <row r="193" spans="1:17" ht="15" thickBot="1" x14ac:dyDescent="0.35">
      <c r="A193" s="18">
        <v>42887</v>
      </c>
      <c r="B193" s="402">
        <v>42900</v>
      </c>
      <c r="C193" t="s">
        <v>15</v>
      </c>
      <c r="D193" t="s">
        <v>96</v>
      </c>
      <c r="E193" s="408" t="s">
        <v>1188</v>
      </c>
      <c r="F193" t="s">
        <v>285</v>
      </c>
      <c r="G193" t="s">
        <v>277</v>
      </c>
      <c r="H193" s="35">
        <v>3.8</v>
      </c>
      <c r="I193" s="35">
        <v>3.2</v>
      </c>
      <c r="J193" s="399">
        <v>0.40639999999999998</v>
      </c>
      <c r="K193" s="35">
        <v>2.4</v>
      </c>
      <c r="L193">
        <v>12.7</v>
      </c>
      <c r="M193">
        <v>351</v>
      </c>
      <c r="N193" s="61">
        <f t="shared" si="2"/>
        <v>0.74063274529814849</v>
      </c>
    </row>
    <row r="194" spans="1:17" ht="15" thickBot="1" x14ac:dyDescent="0.35">
      <c r="A194" s="18">
        <v>42887</v>
      </c>
      <c r="B194" s="402">
        <v>42900</v>
      </c>
      <c r="C194" t="s">
        <v>15</v>
      </c>
      <c r="D194" t="s">
        <v>96</v>
      </c>
      <c r="E194" s="408" t="s">
        <v>1189</v>
      </c>
      <c r="F194" t="s">
        <v>285</v>
      </c>
      <c r="G194" t="s">
        <v>277</v>
      </c>
      <c r="H194" s="35">
        <v>3.2</v>
      </c>
      <c r="I194" s="35">
        <v>2.9</v>
      </c>
      <c r="J194" s="399">
        <v>0.21959999999999999</v>
      </c>
      <c r="K194" s="35">
        <v>8.4</v>
      </c>
      <c r="L194">
        <v>18.399999999999999</v>
      </c>
      <c r="M194">
        <v>199.4</v>
      </c>
      <c r="N194" s="61">
        <f t="shared" si="2"/>
        <v>0.67016601562499978</v>
      </c>
    </row>
    <row r="195" spans="1:17" ht="15" thickBot="1" x14ac:dyDescent="0.35">
      <c r="A195" s="18">
        <v>42887</v>
      </c>
      <c r="B195" s="402">
        <v>42900</v>
      </c>
      <c r="C195" t="s">
        <v>15</v>
      </c>
      <c r="D195" t="s">
        <v>96</v>
      </c>
      <c r="E195" s="408" t="s">
        <v>1190</v>
      </c>
      <c r="F195" t="s">
        <v>285</v>
      </c>
      <c r="G195" t="s">
        <v>277</v>
      </c>
      <c r="H195" s="35">
        <v>3.9</v>
      </c>
      <c r="I195" s="35">
        <v>3.4</v>
      </c>
      <c r="J195" s="399">
        <v>0.38169999999999998</v>
      </c>
      <c r="K195" s="35">
        <v>11.8</v>
      </c>
      <c r="L195">
        <v>32.799999999999997</v>
      </c>
      <c r="M195">
        <v>311.5</v>
      </c>
      <c r="N195" s="61">
        <f t="shared" ref="N195:N258" si="3">100*J195/H195^3</f>
        <v>0.64347005175407546</v>
      </c>
    </row>
    <row r="196" spans="1:17" ht="15" thickBot="1" x14ac:dyDescent="0.35">
      <c r="A196" s="18">
        <v>42887</v>
      </c>
      <c r="B196" s="402">
        <v>42900</v>
      </c>
      <c r="C196" t="s">
        <v>15</v>
      </c>
      <c r="D196" t="s">
        <v>96</v>
      </c>
      <c r="E196" s="408" t="s">
        <v>1191</v>
      </c>
      <c r="F196" t="s">
        <v>285</v>
      </c>
      <c r="G196" t="s">
        <v>277</v>
      </c>
      <c r="H196" s="35">
        <v>4.8</v>
      </c>
      <c r="I196" s="35">
        <v>4.3</v>
      </c>
      <c r="J196" s="399">
        <v>0.81899999999999995</v>
      </c>
      <c r="K196" s="35">
        <v>8.3000000000000007</v>
      </c>
      <c r="L196">
        <v>48.1</v>
      </c>
      <c r="M196">
        <v>721</v>
      </c>
      <c r="N196" s="61">
        <f t="shared" si="3"/>
        <v>0.74055989583333326</v>
      </c>
    </row>
    <row r="197" spans="1:17" ht="15" thickBot="1" x14ac:dyDescent="0.35">
      <c r="A197" s="18">
        <v>42887</v>
      </c>
      <c r="B197" s="402">
        <v>42900</v>
      </c>
      <c r="C197" t="s">
        <v>15</v>
      </c>
      <c r="D197" t="s">
        <v>96</v>
      </c>
      <c r="E197" s="408" t="s">
        <v>1192</v>
      </c>
      <c r="F197" t="s">
        <v>285</v>
      </c>
      <c r="G197" t="s">
        <v>277</v>
      </c>
      <c r="H197" s="35">
        <v>3.2</v>
      </c>
      <c r="I197" s="35">
        <v>2.9</v>
      </c>
      <c r="J197" s="399">
        <v>0.255</v>
      </c>
      <c r="K197" s="35">
        <v>6.2</v>
      </c>
      <c r="L197">
        <v>10.1</v>
      </c>
      <c r="M197">
        <v>205.5</v>
      </c>
      <c r="N197" s="61">
        <f t="shared" si="3"/>
        <v>0.77819824218749978</v>
      </c>
    </row>
    <row r="198" spans="1:17" ht="15" thickBot="1" x14ac:dyDescent="0.35">
      <c r="A198" s="18">
        <v>42887</v>
      </c>
      <c r="B198" s="402">
        <v>42900</v>
      </c>
      <c r="C198" t="s">
        <v>15</v>
      </c>
      <c r="D198" t="s">
        <v>96</v>
      </c>
      <c r="E198" s="408" t="s">
        <v>1193</v>
      </c>
      <c r="F198" t="s">
        <v>285</v>
      </c>
      <c r="G198" t="s">
        <v>277</v>
      </c>
      <c r="H198" s="35">
        <v>4</v>
      </c>
      <c r="I198" s="35">
        <v>3.5</v>
      </c>
      <c r="J198" s="399">
        <v>0.45069999999999999</v>
      </c>
      <c r="K198" s="35">
        <v>12.2</v>
      </c>
      <c r="L198">
        <v>26.2</v>
      </c>
      <c r="M198">
        <v>368.4</v>
      </c>
      <c r="N198" s="61">
        <f t="shared" si="3"/>
        <v>0.70421875</v>
      </c>
    </row>
    <row r="199" spans="1:17" ht="15" thickBot="1" x14ac:dyDescent="0.35">
      <c r="A199" s="18">
        <v>42887</v>
      </c>
      <c r="B199" s="402">
        <v>42900</v>
      </c>
      <c r="C199" t="s">
        <v>15</v>
      </c>
      <c r="D199" t="s">
        <v>96</v>
      </c>
      <c r="E199" s="408" t="s">
        <v>1194</v>
      </c>
      <c r="F199" t="s">
        <v>285</v>
      </c>
      <c r="G199" t="s">
        <v>277</v>
      </c>
      <c r="H199" s="35">
        <v>3.2</v>
      </c>
      <c r="I199" s="35">
        <v>2.9</v>
      </c>
      <c r="J199" s="399">
        <v>0.2747</v>
      </c>
      <c r="K199" s="35">
        <v>3.8</v>
      </c>
      <c r="L199">
        <v>29.9</v>
      </c>
      <c r="M199">
        <v>215.6</v>
      </c>
      <c r="N199" s="61">
        <f t="shared" si="3"/>
        <v>0.83831787109374978</v>
      </c>
    </row>
    <row r="200" spans="1:17" ht="15" thickBot="1" x14ac:dyDescent="0.35">
      <c r="A200" s="18">
        <v>42887</v>
      </c>
      <c r="B200" s="402">
        <v>42900</v>
      </c>
      <c r="C200" t="s">
        <v>15</v>
      </c>
      <c r="D200" t="s">
        <v>96</v>
      </c>
      <c r="E200" s="408" t="s">
        <v>1195</v>
      </c>
      <c r="F200" t="s">
        <v>285</v>
      </c>
      <c r="G200" t="s">
        <v>277</v>
      </c>
      <c r="H200" s="35">
        <v>4.4000000000000004</v>
      </c>
      <c r="I200" s="35">
        <v>3.9</v>
      </c>
      <c r="J200" s="399">
        <v>0.69140000000000001</v>
      </c>
      <c r="K200" s="35">
        <v>5.3</v>
      </c>
      <c r="L200">
        <v>64.2</v>
      </c>
      <c r="M200">
        <v>590.20000000000005</v>
      </c>
      <c r="N200" s="61">
        <f t="shared" si="3"/>
        <v>0.81165477084898552</v>
      </c>
    </row>
    <row r="201" spans="1:17" ht="15" thickBot="1" x14ac:dyDescent="0.35">
      <c r="A201" s="18">
        <v>42887</v>
      </c>
      <c r="B201" s="402">
        <v>42900</v>
      </c>
      <c r="C201" t="s">
        <v>15</v>
      </c>
      <c r="D201" t="s">
        <v>96</v>
      </c>
      <c r="E201" s="408" t="s">
        <v>1196</v>
      </c>
      <c r="F201" t="s">
        <v>285</v>
      </c>
      <c r="G201" t="s">
        <v>277</v>
      </c>
      <c r="H201" s="35">
        <v>3.4</v>
      </c>
      <c r="I201" s="35">
        <v>2.9</v>
      </c>
      <c r="J201" s="399">
        <v>0.30399999999999999</v>
      </c>
      <c r="K201" s="35">
        <v>4.3</v>
      </c>
      <c r="L201">
        <v>20.9</v>
      </c>
      <c r="M201">
        <v>246.2</v>
      </c>
      <c r="N201" s="61">
        <f t="shared" si="3"/>
        <v>0.77345817219621416</v>
      </c>
    </row>
    <row r="202" spans="1:17" ht="15" thickBot="1" x14ac:dyDescent="0.35">
      <c r="A202" s="18">
        <v>42887</v>
      </c>
      <c r="B202" s="402">
        <v>42900</v>
      </c>
      <c r="C202" t="s">
        <v>15</v>
      </c>
      <c r="D202" t="s">
        <v>96</v>
      </c>
      <c r="E202" s="408" t="s">
        <v>1197</v>
      </c>
      <c r="F202" t="s">
        <v>285</v>
      </c>
      <c r="G202" t="s">
        <v>277</v>
      </c>
      <c r="H202" s="35">
        <v>3.2</v>
      </c>
      <c r="I202" s="35">
        <v>2.9</v>
      </c>
      <c r="J202" s="399">
        <v>0.21080000000000002</v>
      </c>
      <c r="K202" s="35">
        <v>2.6</v>
      </c>
      <c r="L202">
        <v>12.4</v>
      </c>
      <c r="M202">
        <v>174.1</v>
      </c>
      <c r="N202" s="61">
        <f t="shared" si="3"/>
        <v>0.64331054687499989</v>
      </c>
    </row>
    <row r="203" spans="1:17" ht="15" thickBot="1" x14ac:dyDescent="0.35">
      <c r="A203" s="18">
        <v>42887</v>
      </c>
      <c r="B203" s="402">
        <v>42900</v>
      </c>
      <c r="C203" t="s">
        <v>15</v>
      </c>
      <c r="D203" t="s">
        <v>96</v>
      </c>
      <c r="E203" s="408" t="s">
        <v>1198</v>
      </c>
      <c r="F203" t="s">
        <v>285</v>
      </c>
      <c r="G203" t="s">
        <v>277</v>
      </c>
      <c r="H203" s="35">
        <v>4.0999999999999996</v>
      </c>
      <c r="I203" s="35">
        <v>3.5</v>
      </c>
      <c r="J203" s="399">
        <v>0.57869999999999999</v>
      </c>
      <c r="K203" s="35">
        <v>16.2</v>
      </c>
      <c r="L203">
        <v>31.6</v>
      </c>
      <c r="M203">
        <v>496.1</v>
      </c>
      <c r="N203" s="61">
        <f t="shared" si="3"/>
        <v>0.83965699859259157</v>
      </c>
    </row>
    <row r="204" spans="1:17" ht="15" thickBot="1" x14ac:dyDescent="0.35">
      <c r="A204" s="18">
        <v>42887</v>
      </c>
      <c r="B204" s="402">
        <v>42900</v>
      </c>
      <c r="C204" t="s">
        <v>15</v>
      </c>
      <c r="D204" t="s">
        <v>96</v>
      </c>
      <c r="E204" s="408" t="s">
        <v>1199</v>
      </c>
      <c r="F204" t="s">
        <v>285</v>
      </c>
      <c r="G204" t="s">
        <v>277</v>
      </c>
      <c r="H204" s="35">
        <v>3.7</v>
      </c>
      <c r="I204" s="35">
        <v>3.3</v>
      </c>
      <c r="J204" s="399">
        <v>0.38039999999999996</v>
      </c>
      <c r="K204" s="35">
        <v>10.7</v>
      </c>
      <c r="L204">
        <v>20.8</v>
      </c>
      <c r="M204">
        <v>320.3</v>
      </c>
      <c r="N204" s="61">
        <f t="shared" si="3"/>
        <v>0.75099204390657992</v>
      </c>
    </row>
    <row r="205" spans="1:17" ht="15" thickBot="1" x14ac:dyDescent="0.35">
      <c r="A205" s="18">
        <v>42887</v>
      </c>
      <c r="B205" s="402">
        <v>42900</v>
      </c>
      <c r="C205" t="s">
        <v>15</v>
      </c>
      <c r="D205" t="s">
        <v>96</v>
      </c>
      <c r="E205" s="408" t="s">
        <v>1200</v>
      </c>
      <c r="F205" t="s">
        <v>285</v>
      </c>
      <c r="G205" t="s">
        <v>277</v>
      </c>
      <c r="H205" s="35">
        <v>2.9</v>
      </c>
      <c r="I205" s="35">
        <v>2.7</v>
      </c>
      <c r="J205" s="399">
        <v>0.23949999999999999</v>
      </c>
      <c r="L205">
        <v>18.2</v>
      </c>
      <c r="M205">
        <v>205.3</v>
      </c>
      <c r="N205" s="61">
        <f t="shared" si="3"/>
        <v>0.98200008200418221</v>
      </c>
      <c r="O205" t="s">
        <v>284</v>
      </c>
    </row>
    <row r="206" spans="1:17" s="48" customFormat="1" ht="15" thickBot="1" x14ac:dyDescent="0.35">
      <c r="A206" s="68">
        <v>42887</v>
      </c>
      <c r="B206" s="402">
        <v>42900</v>
      </c>
      <c r="C206" s="48" t="s">
        <v>15</v>
      </c>
      <c r="D206" s="48" t="s">
        <v>96</v>
      </c>
      <c r="E206" s="408" t="s">
        <v>1201</v>
      </c>
      <c r="F206" s="48" t="s">
        <v>285</v>
      </c>
      <c r="G206" s="48" t="s">
        <v>277</v>
      </c>
      <c r="H206" s="190">
        <v>4.3</v>
      </c>
      <c r="I206" s="190">
        <v>3.9</v>
      </c>
      <c r="J206" s="396">
        <v>0.63170000000000004</v>
      </c>
      <c r="K206" s="190">
        <v>8.4</v>
      </c>
      <c r="L206" s="48">
        <v>29.6</v>
      </c>
      <c r="M206" s="48">
        <v>551.79999999999995</v>
      </c>
      <c r="N206" s="61">
        <f t="shared" si="3"/>
        <v>0.79452123712377543</v>
      </c>
      <c r="P206"/>
    </row>
    <row r="207" spans="1:17" ht="15" thickBot="1" x14ac:dyDescent="0.35">
      <c r="A207" s="18">
        <v>43009</v>
      </c>
      <c r="B207" s="403">
        <v>43020</v>
      </c>
      <c r="C207" s="17" t="s">
        <v>3</v>
      </c>
      <c r="D207" s="17" t="s">
        <v>97</v>
      </c>
      <c r="E207" s="409" t="s">
        <v>993</v>
      </c>
      <c r="F207" s="37" t="s">
        <v>471</v>
      </c>
      <c r="G207" s="406" t="s">
        <v>993</v>
      </c>
      <c r="H207" s="32">
        <v>6.2</v>
      </c>
      <c r="J207" s="390">
        <v>1.6775</v>
      </c>
      <c r="K207" s="32" t="s">
        <v>300</v>
      </c>
      <c r="L207" s="37">
        <v>96</v>
      </c>
      <c r="M207" s="37">
        <v>1.5262</v>
      </c>
      <c r="N207" s="61">
        <f t="shared" si="3"/>
        <v>0.70386190460206088</v>
      </c>
      <c r="O207" s="77"/>
      <c r="P207" s="77"/>
      <c r="Q207" s="78"/>
    </row>
    <row r="208" spans="1:17" ht="15" thickBot="1" x14ac:dyDescent="0.35">
      <c r="A208" s="18">
        <v>43009</v>
      </c>
      <c r="B208" s="404">
        <v>42985</v>
      </c>
      <c r="C208" s="17" t="s">
        <v>3</v>
      </c>
      <c r="D208" s="17" t="s">
        <v>97</v>
      </c>
      <c r="E208" s="408" t="s">
        <v>1202</v>
      </c>
      <c r="F208" s="37" t="s">
        <v>287</v>
      </c>
      <c r="G208" s="37" t="s">
        <v>288</v>
      </c>
      <c r="H208" s="32">
        <v>7</v>
      </c>
      <c r="J208" s="390">
        <v>2.9</v>
      </c>
      <c r="K208" s="32" t="s">
        <v>300</v>
      </c>
      <c r="L208" s="37">
        <v>143.5</v>
      </c>
      <c r="M208" s="37">
        <v>2.78</v>
      </c>
      <c r="N208" s="61">
        <f t="shared" si="3"/>
        <v>0.84548104956268222</v>
      </c>
      <c r="O208" s="79"/>
      <c r="P208" s="79"/>
      <c r="Q208" s="80"/>
    </row>
    <row r="209" spans="1:17" ht="15" thickBot="1" x14ac:dyDescent="0.35">
      <c r="A209" s="18">
        <v>43009</v>
      </c>
      <c r="B209" s="404">
        <v>42985</v>
      </c>
      <c r="C209" s="17" t="s">
        <v>3</v>
      </c>
      <c r="D209" s="17" t="s">
        <v>97</v>
      </c>
      <c r="E209" s="408" t="s">
        <v>1203</v>
      </c>
      <c r="F209" s="37" t="s">
        <v>287</v>
      </c>
      <c r="G209" s="37" t="s">
        <v>289</v>
      </c>
      <c r="H209" s="32">
        <v>7.6</v>
      </c>
      <c r="J209" s="390">
        <v>3.6555</v>
      </c>
      <c r="K209" s="32">
        <v>40</v>
      </c>
      <c r="L209" s="37">
        <v>223</v>
      </c>
      <c r="M209" s="37">
        <v>3.2759999999999998</v>
      </c>
      <c r="N209" s="61">
        <f t="shared" si="3"/>
        <v>0.83273345239830898</v>
      </c>
      <c r="O209" s="77"/>
      <c r="P209" s="77"/>
      <c r="Q209" s="80"/>
    </row>
    <row r="210" spans="1:17" ht="15" thickBot="1" x14ac:dyDescent="0.35">
      <c r="A210" s="18">
        <v>43009</v>
      </c>
      <c r="B210" s="404">
        <v>42985</v>
      </c>
      <c r="C210" s="17" t="s">
        <v>3</v>
      </c>
      <c r="D210" s="17" t="s">
        <v>97</v>
      </c>
      <c r="E210" s="408" t="s">
        <v>1204</v>
      </c>
      <c r="F210" s="37" t="s">
        <v>290</v>
      </c>
      <c r="G210" s="37" t="s">
        <v>291</v>
      </c>
      <c r="H210" s="32">
        <v>7.8</v>
      </c>
      <c r="J210" s="390">
        <f>L210/1000+M210</f>
        <v>3.5146999999999999</v>
      </c>
      <c r="K210" s="32">
        <v>45.5</v>
      </c>
      <c r="L210" s="37">
        <v>229.4</v>
      </c>
      <c r="M210" s="37">
        <v>3.2852999999999999</v>
      </c>
      <c r="N210" s="61">
        <f t="shared" si="3"/>
        <v>0.74063537820934267</v>
      </c>
      <c r="O210" s="77"/>
      <c r="P210" s="77" t="s">
        <v>301</v>
      </c>
      <c r="Q210" s="80"/>
    </row>
    <row r="211" spans="1:17" ht="15" thickBot="1" x14ac:dyDescent="0.35">
      <c r="A211" s="18">
        <v>43009</v>
      </c>
      <c r="B211" s="404">
        <v>42985</v>
      </c>
      <c r="C211" s="17" t="s">
        <v>3</v>
      </c>
      <c r="D211" s="17" t="s">
        <v>97</v>
      </c>
      <c r="E211" s="408" t="s">
        <v>1205</v>
      </c>
      <c r="F211" s="37" t="s">
        <v>292</v>
      </c>
      <c r="G211" s="37" t="s">
        <v>293</v>
      </c>
      <c r="H211" s="32">
        <v>8.1999999999999993</v>
      </c>
      <c r="J211" s="390">
        <v>4.0495999999999999</v>
      </c>
      <c r="K211" s="32">
        <v>45</v>
      </c>
      <c r="L211" s="37">
        <v>228.2</v>
      </c>
      <c r="M211" s="37">
        <v>3.7875000000000001</v>
      </c>
      <c r="N211" s="61">
        <f t="shared" si="3"/>
        <v>0.73446409657433875</v>
      </c>
      <c r="O211" s="77"/>
      <c r="P211" s="77"/>
      <c r="Q211" s="80"/>
    </row>
    <row r="212" spans="1:17" ht="15" thickBot="1" x14ac:dyDescent="0.35">
      <c r="A212" s="18">
        <v>43009</v>
      </c>
      <c r="B212" s="404">
        <v>42985</v>
      </c>
      <c r="C212" s="17" t="s">
        <v>3</v>
      </c>
      <c r="D212" s="17" t="s">
        <v>97</v>
      </c>
      <c r="E212" s="408" t="s">
        <v>1206</v>
      </c>
      <c r="F212" s="37" t="s">
        <v>287</v>
      </c>
      <c r="G212" s="37" t="s">
        <v>294</v>
      </c>
      <c r="H212" s="32">
        <v>9.4</v>
      </c>
      <c r="J212" s="390">
        <v>5.7686000000000002</v>
      </c>
      <c r="K212" s="32">
        <v>43.6</v>
      </c>
      <c r="L212" s="37">
        <v>316</v>
      </c>
      <c r="M212" s="37">
        <v>5.3838999999999997</v>
      </c>
      <c r="N212" s="61">
        <f t="shared" si="3"/>
        <v>0.69452337150727672</v>
      </c>
      <c r="O212" s="77"/>
      <c r="P212" s="77" t="s">
        <v>301</v>
      </c>
      <c r="Q212" s="80"/>
    </row>
    <row r="213" spans="1:17" ht="15" thickBot="1" x14ac:dyDescent="0.35">
      <c r="A213" s="18">
        <v>43009</v>
      </c>
      <c r="B213" s="404">
        <v>42985</v>
      </c>
      <c r="C213" s="17" t="s">
        <v>3</v>
      </c>
      <c r="D213" s="17" t="s">
        <v>97</v>
      </c>
      <c r="E213" s="408" t="s">
        <v>1207</v>
      </c>
      <c r="F213" s="37" t="s">
        <v>287</v>
      </c>
      <c r="G213" s="37" t="s">
        <v>295</v>
      </c>
      <c r="H213" s="32">
        <v>10.4</v>
      </c>
      <c r="J213" s="390">
        <v>9.2325999999999997</v>
      </c>
      <c r="K213" s="32">
        <v>120</v>
      </c>
      <c r="L213" s="37">
        <v>453</v>
      </c>
      <c r="M213" s="37">
        <v>8.6778999999999993</v>
      </c>
      <c r="N213" s="61">
        <f t="shared" si="3"/>
        <v>0.82077477810650867</v>
      </c>
      <c r="O213" s="77"/>
      <c r="P213" s="77" t="s">
        <v>301</v>
      </c>
      <c r="Q213" s="80"/>
    </row>
    <row r="214" spans="1:17" ht="15" thickBot="1" x14ac:dyDescent="0.35">
      <c r="A214" s="18">
        <v>43009</v>
      </c>
      <c r="B214" s="403">
        <v>43020</v>
      </c>
      <c r="C214" s="17" t="s">
        <v>3</v>
      </c>
      <c r="D214" s="17" t="s">
        <v>97</v>
      </c>
      <c r="E214" s="409" t="s">
        <v>994</v>
      </c>
      <c r="F214" s="37" t="s">
        <v>471</v>
      </c>
      <c r="G214" s="406" t="s">
        <v>994</v>
      </c>
      <c r="H214" s="32">
        <v>10.6</v>
      </c>
      <c r="J214" s="390">
        <v>9.0959000000000003</v>
      </c>
      <c r="K214" s="32">
        <v>98.6</v>
      </c>
      <c r="L214" s="37">
        <v>712.5</v>
      </c>
      <c r="M214" s="37">
        <v>8.3766999999999996</v>
      </c>
      <c r="N214" s="61">
        <f t="shared" si="3"/>
        <v>0.76370930365335155</v>
      </c>
      <c r="O214" s="77"/>
      <c r="P214" s="77" t="s">
        <v>301</v>
      </c>
      <c r="Q214" s="80"/>
    </row>
    <row r="215" spans="1:17" ht="15" thickBot="1" x14ac:dyDescent="0.35">
      <c r="A215" s="18">
        <v>43009</v>
      </c>
      <c r="B215" s="403">
        <v>43020</v>
      </c>
      <c r="C215" s="17" t="s">
        <v>3</v>
      </c>
      <c r="D215" s="17" t="s">
        <v>97</v>
      </c>
      <c r="E215" s="409" t="s">
        <v>995</v>
      </c>
      <c r="F215" s="37" t="s">
        <v>471</v>
      </c>
      <c r="G215" s="406" t="s">
        <v>995</v>
      </c>
      <c r="H215" s="32">
        <v>6.5</v>
      </c>
      <c r="J215" s="390">
        <v>2.0379</v>
      </c>
      <c r="K215" s="32" t="s">
        <v>300</v>
      </c>
      <c r="L215" s="37">
        <v>134</v>
      </c>
      <c r="M215" s="37">
        <v>1.865</v>
      </c>
      <c r="N215" s="61">
        <f t="shared" si="3"/>
        <v>0.74206645425580331</v>
      </c>
      <c r="O215" s="77"/>
      <c r="P215" s="77"/>
      <c r="Q215" s="37"/>
    </row>
    <row r="216" spans="1:17" ht="15" thickBot="1" x14ac:dyDescent="0.35">
      <c r="A216" s="18">
        <v>43009</v>
      </c>
      <c r="B216" s="404">
        <v>42985</v>
      </c>
      <c r="C216" s="17" t="s">
        <v>3</v>
      </c>
      <c r="D216" s="17" t="s">
        <v>97</v>
      </c>
      <c r="E216" s="408" t="s">
        <v>1208</v>
      </c>
      <c r="F216" s="37" t="s">
        <v>287</v>
      </c>
      <c r="G216" s="37" t="s">
        <v>296</v>
      </c>
      <c r="H216" s="32">
        <v>7.7</v>
      </c>
      <c r="J216" s="390">
        <v>3.6756000000000002</v>
      </c>
      <c r="K216" s="32" t="s">
        <v>300</v>
      </c>
      <c r="L216" s="37">
        <v>138.1</v>
      </c>
      <c r="M216" s="37">
        <v>3.35</v>
      </c>
      <c r="N216" s="61">
        <f t="shared" si="3"/>
        <v>0.80511156915272264</v>
      </c>
      <c r="O216" s="77"/>
      <c r="P216" s="77"/>
      <c r="Q216" s="37"/>
    </row>
    <row r="217" spans="1:17" ht="15" thickBot="1" x14ac:dyDescent="0.35">
      <c r="A217" s="18">
        <v>43009</v>
      </c>
      <c r="B217" s="404">
        <v>42985</v>
      </c>
      <c r="C217" s="17" t="s">
        <v>3</v>
      </c>
      <c r="D217" s="17" t="s">
        <v>97</v>
      </c>
      <c r="E217" s="408" t="s">
        <v>1209</v>
      </c>
      <c r="F217" s="37" t="s">
        <v>287</v>
      </c>
      <c r="G217" s="37" t="s">
        <v>297</v>
      </c>
      <c r="H217" s="32">
        <v>8.5</v>
      </c>
      <c r="J217" s="390">
        <v>5.0575000000000001</v>
      </c>
      <c r="K217" s="32">
        <v>87.3</v>
      </c>
      <c r="L217" s="37">
        <v>488.7</v>
      </c>
      <c r="M217" s="37">
        <v>4.5381999999999998</v>
      </c>
      <c r="N217" s="61">
        <f t="shared" si="3"/>
        <v>0.82352941176470584</v>
      </c>
      <c r="O217" s="77"/>
      <c r="P217" s="77" t="s">
        <v>301</v>
      </c>
      <c r="Q217" s="80"/>
    </row>
    <row r="218" spans="1:17" s="48" customFormat="1" ht="15" thickBot="1" x14ac:dyDescent="0.35">
      <c r="A218" s="68">
        <v>43009</v>
      </c>
      <c r="B218" s="405">
        <v>43012</v>
      </c>
      <c r="C218" s="67" t="s">
        <v>3</v>
      </c>
      <c r="D218" s="67" t="s">
        <v>97</v>
      </c>
      <c r="E218" s="410" t="s">
        <v>1210</v>
      </c>
      <c r="F218" s="48" t="s">
        <v>298</v>
      </c>
      <c r="G218" s="76" t="s">
        <v>299</v>
      </c>
      <c r="H218" s="190">
        <v>10.5</v>
      </c>
      <c r="I218" s="190"/>
      <c r="J218" s="390">
        <v>9.0812000000000008</v>
      </c>
      <c r="K218" s="32">
        <v>156.69999999999999</v>
      </c>
      <c r="L218" s="37">
        <v>779.3</v>
      </c>
      <c r="M218" s="37">
        <v>7.9934000000000003</v>
      </c>
      <c r="N218" s="61">
        <f t="shared" si="3"/>
        <v>0.78446819997840411</v>
      </c>
      <c r="O218" s="77"/>
      <c r="P218" s="77"/>
      <c r="Q218" s="81"/>
    </row>
    <row r="219" spans="1:17" ht="15" thickBot="1" x14ac:dyDescent="0.35">
      <c r="A219" s="18">
        <v>43009</v>
      </c>
      <c r="B219" s="404">
        <v>42985</v>
      </c>
      <c r="C219" s="17" t="s">
        <v>3</v>
      </c>
      <c r="D219" s="17" t="s">
        <v>98</v>
      </c>
      <c r="E219" s="408" t="s">
        <v>1211</v>
      </c>
      <c r="F219" s="37" t="s">
        <v>287</v>
      </c>
      <c r="G219" s="37" t="s">
        <v>303</v>
      </c>
      <c r="H219" s="32">
        <v>7.2</v>
      </c>
      <c r="I219" s="83"/>
      <c r="J219" s="390">
        <v>2.923</v>
      </c>
      <c r="K219" s="32">
        <v>85</v>
      </c>
      <c r="L219" s="37">
        <v>288</v>
      </c>
      <c r="M219" s="37">
        <v>2.5939999999999999</v>
      </c>
      <c r="N219" s="61">
        <f t="shared" si="3"/>
        <v>0.78312542866941004</v>
      </c>
      <c r="O219" s="77"/>
      <c r="P219" s="77"/>
    </row>
    <row r="220" spans="1:17" ht="15" thickBot="1" x14ac:dyDescent="0.35">
      <c r="A220" s="18">
        <v>43009</v>
      </c>
      <c r="B220" s="404">
        <v>42983</v>
      </c>
      <c r="C220" s="17" t="s">
        <v>3</v>
      </c>
      <c r="D220" s="17" t="s">
        <v>98</v>
      </c>
      <c r="E220" s="408" t="s">
        <v>1212</v>
      </c>
      <c r="F220" s="37" t="s">
        <v>304</v>
      </c>
      <c r="G220" s="37" t="s">
        <v>305</v>
      </c>
      <c r="H220" s="32">
        <v>8</v>
      </c>
      <c r="I220" s="83"/>
      <c r="J220" s="390">
        <v>3.8782999999999999</v>
      </c>
      <c r="K220" s="32">
        <v>15</v>
      </c>
      <c r="L220" s="37">
        <v>240</v>
      </c>
      <c r="M220" s="37">
        <f>J220-(L220/1000)</f>
        <v>3.6383000000000001</v>
      </c>
      <c r="N220" s="61">
        <f t="shared" si="3"/>
        <v>0.75748046874999997</v>
      </c>
      <c r="O220" s="77"/>
      <c r="P220" s="77"/>
    </row>
    <row r="221" spans="1:17" ht="15" thickBot="1" x14ac:dyDescent="0.35">
      <c r="A221" s="18">
        <v>43009</v>
      </c>
      <c r="B221" s="404">
        <v>42985</v>
      </c>
      <c r="C221" s="17" t="s">
        <v>3</v>
      </c>
      <c r="D221" s="17" t="s">
        <v>98</v>
      </c>
      <c r="E221" s="408" t="s">
        <v>1213</v>
      </c>
      <c r="F221" s="37" t="s">
        <v>306</v>
      </c>
      <c r="G221" s="37" t="s">
        <v>307</v>
      </c>
      <c r="H221" s="32">
        <v>10.1</v>
      </c>
      <c r="I221" s="83"/>
      <c r="J221" s="390">
        <v>8.0939999999999994</v>
      </c>
      <c r="K221" s="32">
        <v>132</v>
      </c>
      <c r="L221" s="37">
        <v>636</v>
      </c>
      <c r="M221" s="37">
        <v>7.3838999999999997</v>
      </c>
      <c r="N221" s="61">
        <f t="shared" si="3"/>
        <v>0.7855956657326354</v>
      </c>
      <c r="O221" s="77"/>
      <c r="P221" s="77" t="s">
        <v>301</v>
      </c>
    </row>
    <row r="222" spans="1:17" ht="15" thickBot="1" x14ac:dyDescent="0.35">
      <c r="A222" s="18">
        <v>43009</v>
      </c>
      <c r="B222" s="404">
        <v>42985</v>
      </c>
      <c r="C222" s="17" t="s">
        <v>3</v>
      </c>
      <c r="D222" s="17" t="s">
        <v>98</v>
      </c>
      <c r="E222" s="408" t="s">
        <v>1214</v>
      </c>
      <c r="F222" s="37" t="s">
        <v>306</v>
      </c>
      <c r="G222" s="37" t="s">
        <v>308</v>
      </c>
      <c r="H222" s="32">
        <v>10.6</v>
      </c>
      <c r="I222" s="83"/>
      <c r="J222" s="390">
        <v>11.35</v>
      </c>
      <c r="K222" s="32">
        <v>87.4</v>
      </c>
      <c r="L222" s="37">
        <v>582</v>
      </c>
      <c r="M222" s="37">
        <v>10.7424</v>
      </c>
      <c r="N222" s="61">
        <f t="shared" si="3"/>
        <v>0.95296788624166273</v>
      </c>
      <c r="O222" s="77"/>
      <c r="P222" s="77" t="s">
        <v>301</v>
      </c>
    </row>
    <row r="223" spans="1:17" ht="15" thickBot="1" x14ac:dyDescent="0.35">
      <c r="A223" s="18">
        <v>43009</v>
      </c>
      <c r="B223" s="404">
        <v>42985</v>
      </c>
      <c r="C223" s="17" t="s">
        <v>3</v>
      </c>
      <c r="D223" s="17" t="s">
        <v>98</v>
      </c>
      <c r="E223" s="408" t="s">
        <v>1215</v>
      </c>
      <c r="F223" s="37" t="s">
        <v>287</v>
      </c>
      <c r="G223" s="37" t="s">
        <v>309</v>
      </c>
      <c r="H223" s="32">
        <v>6.8</v>
      </c>
      <c r="I223" s="84"/>
      <c r="J223" s="390">
        <v>3.4175</v>
      </c>
      <c r="K223" s="32">
        <v>52</v>
      </c>
      <c r="L223" s="37">
        <v>220</v>
      </c>
      <c r="M223" s="37">
        <v>3.1230000000000002</v>
      </c>
      <c r="N223" s="61">
        <f t="shared" si="3"/>
        <v>1.0868804701811521</v>
      </c>
      <c r="O223" s="77"/>
      <c r="P223" s="77"/>
    </row>
    <row r="224" spans="1:17" ht="15" thickBot="1" x14ac:dyDescent="0.35">
      <c r="A224" s="18">
        <v>43009</v>
      </c>
      <c r="B224" s="405">
        <v>43012</v>
      </c>
      <c r="C224" s="17" t="s">
        <v>3</v>
      </c>
      <c r="D224" s="17" t="s">
        <v>98</v>
      </c>
      <c r="E224" s="410" t="s">
        <v>1216</v>
      </c>
      <c r="F224" s="37" t="s">
        <v>298</v>
      </c>
      <c r="G224" s="75" t="s">
        <v>310</v>
      </c>
      <c r="H224" s="32">
        <v>7.5</v>
      </c>
      <c r="I224" s="83"/>
      <c r="J224" s="390">
        <v>3.3733</v>
      </c>
      <c r="K224" s="32" t="s">
        <v>300</v>
      </c>
      <c r="L224" s="37">
        <v>392</v>
      </c>
      <c r="M224" s="37">
        <v>2.9182000000000001</v>
      </c>
      <c r="N224" s="61">
        <f t="shared" si="3"/>
        <v>0.799597037037037</v>
      </c>
      <c r="O224" s="77"/>
      <c r="P224" s="77"/>
    </row>
    <row r="225" spans="1:17" ht="15" thickBot="1" x14ac:dyDescent="0.35">
      <c r="A225" s="18">
        <v>43009</v>
      </c>
      <c r="B225" s="404">
        <v>42985</v>
      </c>
      <c r="C225" s="17" t="s">
        <v>3</v>
      </c>
      <c r="D225" s="17" t="s">
        <v>98</v>
      </c>
      <c r="E225" s="408" t="s">
        <v>1217</v>
      </c>
      <c r="F225" s="37" t="s">
        <v>290</v>
      </c>
      <c r="G225" s="37" t="s">
        <v>311</v>
      </c>
      <c r="H225" s="32">
        <v>7.8</v>
      </c>
      <c r="I225" s="84"/>
      <c r="J225" s="390">
        <v>3.4445000000000001</v>
      </c>
      <c r="K225" s="32">
        <v>42.4</v>
      </c>
      <c r="L225" s="37">
        <v>200</v>
      </c>
      <c r="M225" s="37">
        <v>3.0167999999999999</v>
      </c>
      <c r="N225" s="61">
        <f t="shared" si="3"/>
        <v>0.72584247880105868</v>
      </c>
      <c r="O225" s="77"/>
      <c r="P225" s="77"/>
    </row>
    <row r="226" spans="1:17" ht="15" thickBot="1" x14ac:dyDescent="0.35">
      <c r="A226" s="18">
        <v>43009</v>
      </c>
      <c r="B226" s="404">
        <v>42983</v>
      </c>
      <c r="C226" s="17" t="s">
        <v>3</v>
      </c>
      <c r="D226" s="17" t="s">
        <v>98</v>
      </c>
      <c r="E226" s="408" t="s">
        <v>1218</v>
      </c>
      <c r="F226" s="37" t="s">
        <v>312</v>
      </c>
      <c r="G226" s="37" t="s">
        <v>313</v>
      </c>
      <c r="H226" s="32">
        <v>8.1999999999999993</v>
      </c>
      <c r="I226" s="83"/>
      <c r="J226" s="390">
        <v>4.3510999999999997</v>
      </c>
      <c r="K226" s="32">
        <v>60</v>
      </c>
      <c r="L226" s="37">
        <v>294</v>
      </c>
      <c r="M226" s="37">
        <f>J226-(L226/1000)</f>
        <v>4.0571000000000002</v>
      </c>
      <c r="N226" s="61">
        <f t="shared" si="3"/>
        <v>0.78914626891658568</v>
      </c>
      <c r="O226" s="77"/>
      <c r="P226" s="77" t="s">
        <v>301</v>
      </c>
    </row>
    <row r="227" spans="1:17" ht="15" thickBot="1" x14ac:dyDescent="0.35">
      <c r="A227" s="18">
        <v>43009</v>
      </c>
      <c r="B227" s="404">
        <v>42985</v>
      </c>
      <c r="C227" s="17" t="s">
        <v>3</v>
      </c>
      <c r="D227" s="17" t="s">
        <v>98</v>
      </c>
      <c r="E227" s="408" t="s">
        <v>1219</v>
      </c>
      <c r="F227" s="37" t="s">
        <v>287</v>
      </c>
      <c r="G227" s="37" t="s">
        <v>314</v>
      </c>
      <c r="H227" s="32">
        <v>9</v>
      </c>
      <c r="I227" s="84"/>
      <c r="J227" s="390">
        <v>5.6624999999999996</v>
      </c>
      <c r="K227" s="32">
        <v>84</v>
      </c>
      <c r="L227" s="37">
        <v>262</v>
      </c>
      <c r="M227" s="37">
        <v>5.3032000000000004</v>
      </c>
      <c r="N227" s="61">
        <f t="shared" si="3"/>
        <v>0.77674897119341568</v>
      </c>
      <c r="O227" s="77"/>
      <c r="P227" s="77"/>
    </row>
    <row r="228" spans="1:17" ht="15" thickBot="1" x14ac:dyDescent="0.35">
      <c r="A228" s="18">
        <v>43009</v>
      </c>
      <c r="B228" s="404">
        <v>42985</v>
      </c>
      <c r="C228" s="17" t="s">
        <v>3</v>
      </c>
      <c r="D228" s="17" t="s">
        <v>98</v>
      </c>
      <c r="E228" s="408" t="s">
        <v>1220</v>
      </c>
      <c r="F228" s="37" t="s">
        <v>290</v>
      </c>
      <c r="G228" s="37" t="s">
        <v>315</v>
      </c>
      <c r="H228" s="32">
        <v>10.4</v>
      </c>
      <c r="I228" s="83"/>
      <c r="J228" s="390">
        <v>8.7370000000000001</v>
      </c>
      <c r="K228" s="32">
        <v>79.900000000000006</v>
      </c>
      <c r="L228" s="37">
        <v>489</v>
      </c>
      <c r="M228" s="37">
        <v>8.1929999999999996</v>
      </c>
      <c r="N228" s="61">
        <f t="shared" si="3"/>
        <v>0.77671611857077816</v>
      </c>
      <c r="O228" s="77"/>
      <c r="P228" s="77"/>
    </row>
    <row r="229" spans="1:17" ht="15" thickBot="1" x14ac:dyDescent="0.35">
      <c r="A229" s="18">
        <v>43009</v>
      </c>
      <c r="B229" s="404">
        <v>42985</v>
      </c>
      <c r="C229" s="17" t="s">
        <v>3</v>
      </c>
      <c r="D229" s="17" t="s">
        <v>98</v>
      </c>
      <c r="E229" s="408" t="s">
        <v>1221</v>
      </c>
      <c r="F229" s="37" t="s">
        <v>290</v>
      </c>
      <c r="G229" s="37" t="s">
        <v>316</v>
      </c>
      <c r="H229" s="32">
        <v>10.6</v>
      </c>
      <c r="I229" s="84"/>
      <c r="J229" s="390">
        <v>8.7506000000000004</v>
      </c>
      <c r="K229" s="32" t="s">
        <v>317</v>
      </c>
      <c r="L229" s="37">
        <v>405</v>
      </c>
      <c r="M229" s="37">
        <v>8.2763000000000009</v>
      </c>
      <c r="N229" s="61">
        <f t="shared" si="3"/>
        <v>0.73471724981024622</v>
      </c>
      <c r="O229" s="77"/>
      <c r="P229" s="77" t="s">
        <v>301</v>
      </c>
    </row>
    <row r="230" spans="1:17" s="48" customFormat="1" ht="15" thickBot="1" x14ac:dyDescent="0.35">
      <c r="A230" s="68">
        <v>43009</v>
      </c>
      <c r="B230" s="404">
        <v>42985</v>
      </c>
      <c r="C230" s="67" t="s">
        <v>3</v>
      </c>
      <c r="D230" s="67" t="s">
        <v>98</v>
      </c>
      <c r="E230" s="408" t="s">
        <v>1222</v>
      </c>
      <c r="F230" s="48" t="s">
        <v>292</v>
      </c>
      <c r="G230" s="48" t="s">
        <v>318</v>
      </c>
      <c r="H230" s="190">
        <v>10.9</v>
      </c>
      <c r="I230" s="85"/>
      <c r="J230" s="396">
        <v>9.6570999999999998</v>
      </c>
      <c r="K230" s="190">
        <v>123.2</v>
      </c>
      <c r="L230" s="48">
        <v>568.5</v>
      </c>
      <c r="M230" s="48">
        <v>9.0207999999999995</v>
      </c>
      <c r="N230" s="61">
        <f t="shared" si="3"/>
        <v>0.74570530852977046</v>
      </c>
      <c r="O230" s="86"/>
      <c r="P230" s="86" t="s">
        <v>301</v>
      </c>
    </row>
    <row r="231" spans="1:17" ht="15" thickBot="1" x14ac:dyDescent="0.35">
      <c r="A231" s="18">
        <v>43009</v>
      </c>
      <c r="B231" s="404">
        <v>42985</v>
      </c>
      <c r="C231" s="17" t="s">
        <v>3</v>
      </c>
      <c r="D231" s="17" t="s">
        <v>99</v>
      </c>
      <c r="E231" s="408" t="s">
        <v>1223</v>
      </c>
      <c r="F231" t="s">
        <v>292</v>
      </c>
      <c r="G231" t="s">
        <v>319</v>
      </c>
      <c r="H231" s="35">
        <v>11</v>
      </c>
      <c r="J231" s="399">
        <v>10.5466</v>
      </c>
      <c r="K231" s="35">
        <v>118</v>
      </c>
      <c r="L231">
        <v>343.5</v>
      </c>
      <c r="M231">
        <v>9.9</v>
      </c>
      <c r="N231" s="61">
        <f t="shared" si="3"/>
        <v>0.79238166791885811</v>
      </c>
      <c r="P231" t="s">
        <v>301</v>
      </c>
    </row>
    <row r="232" spans="1:17" ht="15" thickBot="1" x14ac:dyDescent="0.35">
      <c r="A232" s="18">
        <v>43009</v>
      </c>
      <c r="B232" s="403">
        <v>43020</v>
      </c>
      <c r="C232" s="17" t="s">
        <v>3</v>
      </c>
      <c r="D232" s="17" t="s">
        <v>99</v>
      </c>
      <c r="E232" s="409" t="s">
        <v>1224</v>
      </c>
      <c r="F232" t="s">
        <v>286</v>
      </c>
      <c r="G232" t="s">
        <v>320</v>
      </c>
      <c r="H232" s="35">
        <v>11.8</v>
      </c>
      <c r="J232" s="399">
        <v>11.8415</v>
      </c>
      <c r="K232" s="35">
        <v>104.8</v>
      </c>
      <c r="L232">
        <v>829.9</v>
      </c>
      <c r="M232">
        <v>10.93</v>
      </c>
      <c r="N232" s="61">
        <f t="shared" si="3"/>
        <v>0.72071024788318183</v>
      </c>
      <c r="P232" t="s">
        <v>301</v>
      </c>
    </row>
    <row r="233" spans="1:17" ht="15" thickBot="1" x14ac:dyDescent="0.35">
      <c r="A233" s="18">
        <v>43009</v>
      </c>
      <c r="B233" s="405">
        <v>43012</v>
      </c>
      <c r="C233" s="17" t="s">
        <v>3</v>
      </c>
      <c r="D233" s="17" t="s">
        <v>99</v>
      </c>
      <c r="E233" s="410" t="s">
        <v>1225</v>
      </c>
      <c r="F233" t="s">
        <v>298</v>
      </c>
      <c r="G233" t="s">
        <v>321</v>
      </c>
      <c r="H233" s="35">
        <v>12.2</v>
      </c>
      <c r="J233" s="399">
        <v>14.793200000000001</v>
      </c>
      <c r="K233" s="35">
        <v>178</v>
      </c>
      <c r="L233">
        <v>1045</v>
      </c>
      <c r="M233">
        <v>13.6295</v>
      </c>
      <c r="N233" s="61">
        <f t="shared" si="3"/>
        <v>0.81467171261030691</v>
      </c>
      <c r="P233" t="s">
        <v>301</v>
      </c>
    </row>
    <row r="234" spans="1:17" ht="15" thickBot="1" x14ac:dyDescent="0.35">
      <c r="A234" s="18">
        <v>43009</v>
      </c>
      <c r="B234" s="405">
        <v>43012</v>
      </c>
      <c r="C234" s="17" t="s">
        <v>3</v>
      </c>
      <c r="D234" s="17" t="s">
        <v>99</v>
      </c>
      <c r="E234" s="410" t="s">
        <v>1226</v>
      </c>
      <c r="F234" t="s">
        <v>298</v>
      </c>
      <c r="G234" t="s">
        <v>322</v>
      </c>
      <c r="H234" s="35">
        <v>11.2</v>
      </c>
      <c r="J234" s="399">
        <v>9.9312000000000005</v>
      </c>
      <c r="K234" s="35">
        <v>134.80000000000001</v>
      </c>
      <c r="L234">
        <v>587</v>
      </c>
      <c r="M234">
        <v>9.2613000000000003</v>
      </c>
      <c r="N234" s="61">
        <f t="shared" si="3"/>
        <v>0.70688319970845503</v>
      </c>
      <c r="P234" t="s">
        <v>301</v>
      </c>
    </row>
    <row r="235" spans="1:17" ht="15" thickBot="1" x14ac:dyDescent="0.35">
      <c r="A235" s="18">
        <v>43009</v>
      </c>
      <c r="B235" s="404">
        <v>42985</v>
      </c>
      <c r="C235" s="17" t="s">
        <v>3</v>
      </c>
      <c r="D235" s="17" t="s">
        <v>99</v>
      </c>
      <c r="E235" s="408" t="s">
        <v>1227</v>
      </c>
      <c r="F235" t="s">
        <v>292</v>
      </c>
      <c r="G235" t="s">
        <v>323</v>
      </c>
      <c r="H235" s="35">
        <v>11.9</v>
      </c>
      <c r="J235" s="399">
        <v>15.8856</v>
      </c>
      <c r="K235" s="35">
        <v>172.3</v>
      </c>
      <c r="L235">
        <v>836</v>
      </c>
      <c r="M235">
        <v>14.654400000000001</v>
      </c>
      <c r="N235" s="61">
        <f t="shared" si="3"/>
        <v>0.9426766257664706</v>
      </c>
      <c r="P235" t="s">
        <v>301</v>
      </c>
    </row>
    <row r="236" spans="1:17" ht="15" thickBot="1" x14ac:dyDescent="0.35">
      <c r="A236" s="18">
        <v>43009</v>
      </c>
      <c r="B236" s="403">
        <v>43020</v>
      </c>
      <c r="C236" s="17" t="s">
        <v>3</v>
      </c>
      <c r="D236" s="17" t="s">
        <v>99</v>
      </c>
      <c r="E236" s="409" t="s">
        <v>1228</v>
      </c>
      <c r="F236" t="s">
        <v>286</v>
      </c>
      <c r="G236" t="s">
        <v>324</v>
      </c>
      <c r="H236" s="35">
        <v>12.5</v>
      </c>
      <c r="J236" s="399">
        <v>14.829000000000001</v>
      </c>
      <c r="K236" s="35">
        <v>106</v>
      </c>
      <c r="L236">
        <v>1757</v>
      </c>
      <c r="M236">
        <v>12.869400000000001</v>
      </c>
      <c r="N236" s="61">
        <f t="shared" si="3"/>
        <v>0.75924480000000005</v>
      </c>
      <c r="P236" t="s">
        <v>301</v>
      </c>
    </row>
    <row r="237" spans="1:17" ht="15" thickBot="1" x14ac:dyDescent="0.35">
      <c r="A237" s="18">
        <v>43009</v>
      </c>
      <c r="B237" s="404">
        <v>42985</v>
      </c>
      <c r="C237" s="17" t="s">
        <v>3</v>
      </c>
      <c r="D237" s="17" t="s">
        <v>99</v>
      </c>
      <c r="E237" s="408" t="s">
        <v>1229</v>
      </c>
      <c r="F237" t="s">
        <v>287</v>
      </c>
      <c r="G237" t="s">
        <v>325</v>
      </c>
      <c r="H237" s="35">
        <v>11.2</v>
      </c>
      <c r="J237" s="399">
        <v>11.0549</v>
      </c>
      <c r="K237" s="35">
        <v>139</v>
      </c>
      <c r="L237">
        <v>860</v>
      </c>
      <c r="M237">
        <v>10.1175</v>
      </c>
      <c r="N237" s="61">
        <f t="shared" si="3"/>
        <v>0.78686594615524796</v>
      </c>
      <c r="P237" t="s">
        <v>301</v>
      </c>
    </row>
    <row r="238" spans="1:17" ht="15" thickBot="1" x14ac:dyDescent="0.35">
      <c r="A238" s="18">
        <v>43009</v>
      </c>
      <c r="B238" s="403">
        <v>43020</v>
      </c>
      <c r="C238" s="17" t="s">
        <v>3</v>
      </c>
      <c r="D238" s="17" t="s">
        <v>99</v>
      </c>
      <c r="E238" s="409" t="s">
        <v>1230</v>
      </c>
      <c r="F238" t="s">
        <v>286</v>
      </c>
      <c r="G238" t="s">
        <v>326</v>
      </c>
      <c r="H238" s="35">
        <v>12.2</v>
      </c>
      <c r="J238" s="399">
        <v>14.776999999999999</v>
      </c>
      <c r="K238" s="35">
        <v>169.5</v>
      </c>
      <c r="L238">
        <v>1510.7</v>
      </c>
      <c r="M238">
        <v>12.9415</v>
      </c>
      <c r="N238" s="61">
        <f t="shared" si="3"/>
        <v>0.81377956745278246</v>
      </c>
      <c r="P238" t="s">
        <v>301</v>
      </c>
    </row>
    <row r="239" spans="1:17" s="48" customFormat="1" ht="15" thickBot="1" x14ac:dyDescent="0.35">
      <c r="A239" s="68">
        <v>43009</v>
      </c>
      <c r="B239" s="405">
        <v>43012</v>
      </c>
      <c r="C239" s="67" t="s">
        <v>3</v>
      </c>
      <c r="D239" s="67" t="s">
        <v>99</v>
      </c>
      <c r="E239" s="410" t="s">
        <v>1231</v>
      </c>
      <c r="F239" s="48" t="s">
        <v>298</v>
      </c>
      <c r="G239" s="48" t="s">
        <v>327</v>
      </c>
      <c r="H239" s="190">
        <v>13.2</v>
      </c>
      <c r="I239" s="190"/>
      <c r="J239" s="396">
        <v>17.600000000000001</v>
      </c>
      <c r="K239" s="190">
        <v>113.6</v>
      </c>
      <c r="L239" s="48">
        <v>1165.5999999999999</v>
      </c>
      <c r="M239" s="48">
        <v>16.126999999999999</v>
      </c>
      <c r="N239" s="61">
        <f t="shared" si="3"/>
        <v>0.7652280379553108</v>
      </c>
      <c r="P239" s="48" t="s">
        <v>301</v>
      </c>
    </row>
    <row r="240" spans="1:17" ht="15" thickBot="1" x14ac:dyDescent="0.35">
      <c r="A240" s="18">
        <v>43009</v>
      </c>
      <c r="B240" s="404">
        <v>43012</v>
      </c>
      <c r="C240" s="17" t="s">
        <v>13</v>
      </c>
      <c r="D240" s="17" t="s">
        <v>200</v>
      </c>
      <c r="E240" s="408" t="s">
        <v>1232</v>
      </c>
      <c r="F240" s="37" t="s">
        <v>328</v>
      </c>
      <c r="G240" s="37" t="s">
        <v>329</v>
      </c>
      <c r="H240" s="32">
        <v>7.8</v>
      </c>
      <c r="I240" s="83"/>
      <c r="J240" s="390">
        <v>3.867</v>
      </c>
      <c r="K240" s="32">
        <v>120</v>
      </c>
      <c r="L240" s="37">
        <v>266</v>
      </c>
      <c r="M240" s="37">
        <v>3.6389999999999998</v>
      </c>
      <c r="N240" s="61">
        <f t="shared" si="3"/>
        <v>0.81487381783239776</v>
      </c>
      <c r="O240" s="79"/>
      <c r="P240" s="79" t="s">
        <v>301</v>
      </c>
      <c r="Q240" s="37"/>
    </row>
    <row r="241" spans="1:17" ht="15" thickBot="1" x14ac:dyDescent="0.35">
      <c r="A241" s="18">
        <v>43009</v>
      </c>
      <c r="B241" s="404">
        <v>43012</v>
      </c>
      <c r="C241" s="17" t="s">
        <v>13</v>
      </c>
      <c r="D241" s="17" t="s">
        <v>200</v>
      </c>
      <c r="E241" s="408" t="s">
        <v>1233</v>
      </c>
      <c r="F241" s="37" t="s">
        <v>330</v>
      </c>
      <c r="G241" s="37" t="s">
        <v>331</v>
      </c>
      <c r="H241" s="32">
        <v>9.1</v>
      </c>
      <c r="I241" s="83"/>
      <c r="J241" s="390">
        <v>5.63</v>
      </c>
      <c r="K241" s="32">
        <v>102</v>
      </c>
      <c r="L241" s="37">
        <v>264</v>
      </c>
      <c r="M241" s="37">
        <v>5.3494999999999999</v>
      </c>
      <c r="N241" s="61">
        <f t="shared" si="3"/>
        <v>0.74710942963569471</v>
      </c>
      <c r="O241" s="77"/>
      <c r="P241" s="77"/>
      <c r="Q241" s="37"/>
    </row>
    <row r="242" spans="1:17" ht="15" thickBot="1" x14ac:dyDescent="0.35">
      <c r="A242" s="18">
        <v>43009</v>
      </c>
      <c r="B242" s="404">
        <v>43012</v>
      </c>
      <c r="C242" s="17" t="s">
        <v>13</v>
      </c>
      <c r="D242" s="17" t="s">
        <v>200</v>
      </c>
      <c r="E242" s="408" t="s">
        <v>1234</v>
      </c>
      <c r="F242" s="37" t="s">
        <v>328</v>
      </c>
      <c r="G242" s="37" t="s">
        <v>332</v>
      </c>
      <c r="H242" s="32">
        <v>9.6999999999999993</v>
      </c>
      <c r="I242" s="83"/>
      <c r="J242" s="390">
        <v>6.2320000000000002</v>
      </c>
      <c r="K242" s="32">
        <v>100</v>
      </c>
      <c r="L242" s="37">
        <v>414</v>
      </c>
      <c r="M242" s="37">
        <v>5.7759999999999998</v>
      </c>
      <c r="N242" s="61">
        <f t="shared" si="3"/>
        <v>0.68282944712947591</v>
      </c>
      <c r="O242" s="77"/>
      <c r="P242" s="77"/>
      <c r="Q242" s="37"/>
    </row>
    <row r="243" spans="1:17" ht="15" thickBot="1" x14ac:dyDescent="0.35">
      <c r="A243" s="18">
        <v>43009</v>
      </c>
      <c r="B243" s="404">
        <v>43012</v>
      </c>
      <c r="C243" s="17" t="s">
        <v>13</v>
      </c>
      <c r="D243" s="17" t="s">
        <v>200</v>
      </c>
      <c r="E243" s="408" t="s">
        <v>1235</v>
      </c>
      <c r="F243" s="37" t="s">
        <v>328</v>
      </c>
      <c r="G243" s="37" t="s">
        <v>333</v>
      </c>
      <c r="H243" s="32">
        <v>9.8000000000000007</v>
      </c>
      <c r="I243" s="83"/>
      <c r="J243" s="390">
        <v>7.3658000000000001</v>
      </c>
      <c r="K243" s="32">
        <v>162</v>
      </c>
      <c r="L243" s="37">
        <v>423</v>
      </c>
      <c r="M243" s="37">
        <v>6.9778000000000002</v>
      </c>
      <c r="N243" s="61">
        <f t="shared" si="3"/>
        <v>0.78260333704493856</v>
      </c>
      <c r="O243" s="77"/>
      <c r="P243" s="77"/>
      <c r="Q243" s="37"/>
    </row>
    <row r="244" spans="1:17" ht="15" thickBot="1" x14ac:dyDescent="0.35">
      <c r="A244" s="18">
        <v>43009</v>
      </c>
      <c r="B244" s="405">
        <v>43018</v>
      </c>
      <c r="C244" s="17" t="s">
        <v>13</v>
      </c>
      <c r="D244" s="17" t="s">
        <v>200</v>
      </c>
      <c r="E244" s="410" t="s">
        <v>1236</v>
      </c>
      <c r="F244" s="37" t="s">
        <v>334</v>
      </c>
      <c r="G244" s="37" t="s">
        <v>335</v>
      </c>
      <c r="H244" s="32">
        <v>10</v>
      </c>
      <c r="I244" s="83"/>
      <c r="J244" s="390">
        <v>7.9572000000000003</v>
      </c>
      <c r="K244" s="32">
        <v>110</v>
      </c>
      <c r="L244" s="37">
        <v>325</v>
      </c>
      <c r="M244" s="37">
        <v>7.5904999999999996</v>
      </c>
      <c r="N244" s="61">
        <f t="shared" si="3"/>
        <v>0.79571999999999998</v>
      </c>
      <c r="O244" s="77"/>
      <c r="P244" s="77" t="s">
        <v>301</v>
      </c>
      <c r="Q244" s="37"/>
    </row>
    <row r="245" spans="1:17" ht="15" thickBot="1" x14ac:dyDescent="0.35">
      <c r="A245" s="18">
        <v>43009</v>
      </c>
      <c r="B245" s="404">
        <v>43012</v>
      </c>
      <c r="C245" s="17" t="s">
        <v>13</v>
      </c>
      <c r="D245" s="17" t="s">
        <v>200</v>
      </c>
      <c r="E245" s="408" t="s">
        <v>1237</v>
      </c>
      <c r="F245" s="37" t="s">
        <v>328</v>
      </c>
      <c r="G245" s="37" t="s">
        <v>336</v>
      </c>
      <c r="H245" s="32">
        <v>10.199999999999999</v>
      </c>
      <c r="I245" s="83"/>
      <c r="J245" s="390">
        <v>7.7460000000000004</v>
      </c>
      <c r="K245" s="32">
        <v>120</v>
      </c>
      <c r="L245" s="37">
        <v>420</v>
      </c>
      <c r="M245" s="37">
        <v>7.2930000000000001</v>
      </c>
      <c r="N245" s="61">
        <f t="shared" si="3"/>
        <v>0.72992288034014075</v>
      </c>
      <c r="O245" s="77"/>
      <c r="P245" s="77" t="s">
        <v>301</v>
      </c>
      <c r="Q245" s="37"/>
    </row>
    <row r="246" spans="1:17" ht="15" thickBot="1" x14ac:dyDescent="0.35">
      <c r="A246" s="18">
        <v>43009</v>
      </c>
      <c r="B246" s="404">
        <v>43012</v>
      </c>
      <c r="C246" s="17" t="s">
        <v>13</v>
      </c>
      <c r="D246" s="17" t="s">
        <v>200</v>
      </c>
      <c r="E246" s="408" t="s">
        <v>1238</v>
      </c>
      <c r="F246" s="37" t="s">
        <v>328</v>
      </c>
      <c r="G246" s="37" t="s">
        <v>337</v>
      </c>
      <c r="H246" s="32">
        <v>10.4</v>
      </c>
      <c r="I246" s="83"/>
      <c r="J246" s="390">
        <v>8.5571999999999999</v>
      </c>
      <c r="K246" s="32">
        <v>185</v>
      </c>
      <c r="L246" s="37">
        <v>491</v>
      </c>
      <c r="M246" s="37">
        <v>8.0670000000000002</v>
      </c>
      <c r="N246" s="61">
        <f t="shared" si="3"/>
        <v>0.76073196404187515</v>
      </c>
      <c r="O246" s="77"/>
      <c r="P246" s="77"/>
      <c r="Q246" s="37"/>
    </row>
    <row r="247" spans="1:17" ht="15" thickBot="1" x14ac:dyDescent="0.35">
      <c r="A247" s="18">
        <v>43009</v>
      </c>
      <c r="B247" s="405">
        <v>43018</v>
      </c>
      <c r="C247" s="17" t="s">
        <v>13</v>
      </c>
      <c r="D247" s="17" t="s">
        <v>200</v>
      </c>
      <c r="E247" s="410" t="s">
        <v>1239</v>
      </c>
      <c r="F247" s="37" t="s">
        <v>334</v>
      </c>
      <c r="G247" s="37" t="s">
        <v>338</v>
      </c>
      <c r="H247" s="32">
        <v>8</v>
      </c>
      <c r="I247" s="83"/>
      <c r="J247" s="390">
        <v>4.04</v>
      </c>
      <c r="K247" s="32">
        <v>90</v>
      </c>
      <c r="L247" s="37">
        <v>266</v>
      </c>
      <c r="M247" s="37">
        <v>3.83</v>
      </c>
      <c r="N247" s="61">
        <f t="shared" si="3"/>
        <v>0.7890625</v>
      </c>
      <c r="O247" s="77"/>
      <c r="P247" s="77"/>
      <c r="Q247" s="37"/>
    </row>
    <row r="248" spans="1:17" ht="15" thickBot="1" x14ac:dyDescent="0.35">
      <c r="A248" s="18">
        <v>43009</v>
      </c>
      <c r="B248" s="404">
        <v>43012</v>
      </c>
      <c r="C248" s="17" t="s">
        <v>13</v>
      </c>
      <c r="D248" s="17" t="s">
        <v>200</v>
      </c>
      <c r="E248" s="408" t="s">
        <v>1240</v>
      </c>
      <c r="F248" s="37" t="s">
        <v>339</v>
      </c>
      <c r="G248" s="37" t="s">
        <v>340</v>
      </c>
      <c r="H248" s="32">
        <v>9.8000000000000007</v>
      </c>
      <c r="I248" s="83"/>
      <c r="J248" s="390">
        <v>7.2670000000000003</v>
      </c>
      <c r="K248" s="32">
        <v>132</v>
      </c>
      <c r="L248" s="37">
        <v>571</v>
      </c>
      <c r="M248" s="37">
        <v>6.68</v>
      </c>
      <c r="N248" s="61">
        <f t="shared" si="3"/>
        <v>0.7721060102508307</v>
      </c>
      <c r="O248" s="37" t="s">
        <v>343</v>
      </c>
      <c r="P248" s="77" t="s">
        <v>301</v>
      </c>
    </row>
    <row r="249" spans="1:17" ht="15" thickBot="1" x14ac:dyDescent="0.35">
      <c r="A249" s="18">
        <v>43009</v>
      </c>
      <c r="B249" s="404">
        <v>43012</v>
      </c>
      <c r="C249" s="17" t="s">
        <v>13</v>
      </c>
      <c r="D249" s="17" t="s">
        <v>200</v>
      </c>
      <c r="E249" s="408" t="s">
        <v>1241</v>
      </c>
      <c r="F249" s="37" t="s">
        <v>328</v>
      </c>
      <c r="G249" s="37" t="s">
        <v>341</v>
      </c>
      <c r="H249" s="32">
        <v>10</v>
      </c>
      <c r="I249" s="83"/>
      <c r="J249" s="390">
        <v>7.6340000000000003</v>
      </c>
      <c r="K249" s="32">
        <v>160</v>
      </c>
      <c r="L249" s="37">
        <v>491</v>
      </c>
      <c r="M249" s="37">
        <v>7.0812999999999997</v>
      </c>
      <c r="N249" s="61">
        <f t="shared" si="3"/>
        <v>0.76340000000000008</v>
      </c>
      <c r="O249" s="77"/>
      <c r="P249" s="77"/>
      <c r="Q249" s="37"/>
    </row>
    <row r="250" spans="1:17" s="48" customFormat="1" ht="15" thickBot="1" x14ac:dyDescent="0.35">
      <c r="A250" s="68">
        <v>43009</v>
      </c>
      <c r="B250" s="404">
        <v>43012</v>
      </c>
      <c r="C250" s="67" t="s">
        <v>13</v>
      </c>
      <c r="D250" s="67" t="s">
        <v>200</v>
      </c>
      <c r="E250" s="408" t="s">
        <v>1242</v>
      </c>
      <c r="F250" s="48" t="s">
        <v>328</v>
      </c>
      <c r="G250" s="48" t="s">
        <v>342</v>
      </c>
      <c r="H250" s="190">
        <v>10.5</v>
      </c>
      <c r="I250" s="85"/>
      <c r="J250" s="396">
        <v>8.6199999999999992</v>
      </c>
      <c r="K250" s="190">
        <v>175</v>
      </c>
      <c r="L250" s="48">
        <v>610</v>
      </c>
      <c r="M250" s="48">
        <v>7.6449999999999996</v>
      </c>
      <c r="N250" s="61">
        <f t="shared" si="3"/>
        <v>0.74462800993413225</v>
      </c>
      <c r="O250" s="86"/>
      <c r="P250" s="86" t="s">
        <v>301</v>
      </c>
    </row>
    <row r="251" spans="1:17" ht="15" thickBot="1" x14ac:dyDescent="0.35">
      <c r="A251" s="18">
        <v>43009</v>
      </c>
      <c r="B251" s="404">
        <v>43012</v>
      </c>
      <c r="C251" s="17" t="s">
        <v>13</v>
      </c>
      <c r="D251" s="17" t="s">
        <v>201</v>
      </c>
      <c r="E251" s="408" t="s">
        <v>1243</v>
      </c>
      <c r="F251" s="37" t="s">
        <v>344</v>
      </c>
      <c r="G251" s="37" t="s">
        <v>345</v>
      </c>
      <c r="H251" s="32">
        <v>9.6</v>
      </c>
      <c r="I251" s="83"/>
      <c r="J251" s="390">
        <v>8.35</v>
      </c>
      <c r="K251" s="32">
        <v>97</v>
      </c>
      <c r="L251" s="37">
        <v>343</v>
      </c>
      <c r="M251" s="37">
        <v>7.9405999999999999</v>
      </c>
      <c r="N251" s="61">
        <f t="shared" si="3"/>
        <v>0.94378436053240744</v>
      </c>
      <c r="O251" s="79"/>
      <c r="P251" s="79"/>
      <c r="Q251" s="37"/>
    </row>
    <row r="252" spans="1:17" ht="15" thickBot="1" x14ac:dyDescent="0.35">
      <c r="A252" s="18">
        <v>43009</v>
      </c>
      <c r="B252" s="404">
        <v>43012</v>
      </c>
      <c r="C252" s="17" t="s">
        <v>13</v>
      </c>
      <c r="D252" s="17" t="s">
        <v>201</v>
      </c>
      <c r="E252" s="408" t="s">
        <v>1244</v>
      </c>
      <c r="F252" s="37" t="s">
        <v>328</v>
      </c>
      <c r="G252" s="37" t="s">
        <v>346</v>
      </c>
      <c r="H252" s="32">
        <v>9.9</v>
      </c>
      <c r="I252" s="83"/>
      <c r="J252" s="390">
        <v>7.02</v>
      </c>
      <c r="K252" s="32">
        <v>120</v>
      </c>
      <c r="L252" s="37">
        <v>476</v>
      </c>
      <c r="M252" s="37">
        <v>6.4669999999999996</v>
      </c>
      <c r="N252" s="61">
        <f t="shared" si="3"/>
        <v>0.7234883267941119</v>
      </c>
      <c r="O252" s="77"/>
      <c r="P252" s="77"/>
      <c r="Q252" s="37"/>
    </row>
    <row r="253" spans="1:17" ht="15" thickBot="1" x14ac:dyDescent="0.35">
      <c r="A253" s="18">
        <v>43009</v>
      </c>
      <c r="B253" s="404">
        <v>43012</v>
      </c>
      <c r="C253" s="17" t="s">
        <v>13</v>
      </c>
      <c r="D253" s="17" t="s">
        <v>201</v>
      </c>
      <c r="E253" s="408" t="s">
        <v>1245</v>
      </c>
      <c r="F253" s="37" t="s">
        <v>328</v>
      </c>
      <c r="G253" s="37" t="s">
        <v>347</v>
      </c>
      <c r="H253" s="32">
        <v>10.199999999999999</v>
      </c>
      <c r="I253" s="83"/>
      <c r="J253" s="390">
        <v>7.4770000000000003</v>
      </c>
      <c r="K253" s="32">
        <v>96</v>
      </c>
      <c r="L253" s="37">
        <v>422</v>
      </c>
      <c r="M253" s="37">
        <v>6.93</v>
      </c>
      <c r="N253" s="61">
        <f t="shared" si="3"/>
        <v>0.70457440954082529</v>
      </c>
      <c r="O253" s="77"/>
      <c r="P253" s="77"/>
      <c r="Q253" s="37"/>
    </row>
    <row r="254" spans="1:17" ht="15" thickBot="1" x14ac:dyDescent="0.35">
      <c r="A254" s="18">
        <v>43009</v>
      </c>
      <c r="B254" s="404">
        <v>43012</v>
      </c>
      <c r="C254" s="17" t="s">
        <v>13</v>
      </c>
      <c r="D254" s="17" t="s">
        <v>201</v>
      </c>
      <c r="E254" s="408" t="s">
        <v>1246</v>
      </c>
      <c r="F254" s="37" t="s">
        <v>328</v>
      </c>
      <c r="G254" s="37" t="s">
        <v>348</v>
      </c>
      <c r="H254" s="32">
        <v>8.5</v>
      </c>
      <c r="I254" s="83"/>
      <c r="J254" s="390">
        <v>4.641</v>
      </c>
      <c r="K254" s="32">
        <v>7</v>
      </c>
      <c r="L254" s="37">
        <v>293</v>
      </c>
      <c r="M254" s="37">
        <v>4.25</v>
      </c>
      <c r="N254" s="61">
        <f t="shared" si="3"/>
        <v>0.75570934256055367</v>
      </c>
      <c r="O254" s="37" t="s">
        <v>349</v>
      </c>
      <c r="P254" s="77"/>
    </row>
    <row r="255" spans="1:17" ht="15" thickBot="1" x14ac:dyDescent="0.35">
      <c r="A255" s="18">
        <v>43009</v>
      </c>
      <c r="B255" s="404">
        <v>43012</v>
      </c>
      <c r="C255" s="17" t="s">
        <v>13</v>
      </c>
      <c r="D255" s="17" t="s">
        <v>201</v>
      </c>
      <c r="E255" s="408" t="s">
        <v>1247</v>
      </c>
      <c r="F255" s="37" t="s">
        <v>328</v>
      </c>
      <c r="G255" s="37" t="s">
        <v>350</v>
      </c>
      <c r="H255" s="32">
        <v>9.6</v>
      </c>
      <c r="I255" s="83"/>
      <c r="J255" s="390">
        <v>7.3730000000000002</v>
      </c>
      <c r="K255" s="32">
        <v>82</v>
      </c>
      <c r="L255" s="37">
        <v>408</v>
      </c>
      <c r="M255" s="37">
        <v>6.9433999999999996</v>
      </c>
      <c r="N255" s="61">
        <f t="shared" si="3"/>
        <v>0.8333559389467593</v>
      </c>
      <c r="O255" s="77"/>
      <c r="P255" s="77" t="s">
        <v>301</v>
      </c>
      <c r="Q255" s="37"/>
    </row>
    <row r="256" spans="1:17" ht="15" thickBot="1" x14ac:dyDescent="0.35">
      <c r="A256" s="18">
        <v>43009</v>
      </c>
      <c r="B256" s="404">
        <v>43012</v>
      </c>
      <c r="C256" s="17" t="s">
        <v>13</v>
      </c>
      <c r="D256" s="17" t="s">
        <v>201</v>
      </c>
      <c r="E256" s="408" t="s">
        <v>1248</v>
      </c>
      <c r="F256" s="37" t="s">
        <v>328</v>
      </c>
      <c r="G256" s="37" t="s">
        <v>351</v>
      </c>
      <c r="H256" s="32">
        <v>9.8000000000000007</v>
      </c>
      <c r="I256" s="83"/>
      <c r="J256" s="390">
        <v>8.1059999999999999</v>
      </c>
      <c r="K256" s="32">
        <v>110</v>
      </c>
      <c r="L256" s="37">
        <v>398</v>
      </c>
      <c r="M256" s="37">
        <v>7.4329999999999998</v>
      </c>
      <c r="N256" s="61">
        <f t="shared" si="3"/>
        <v>0.86124828940322462</v>
      </c>
      <c r="O256" s="77"/>
      <c r="P256" s="77"/>
      <c r="Q256" s="37"/>
    </row>
    <row r="257" spans="1:17" ht="15" thickBot="1" x14ac:dyDescent="0.35">
      <c r="A257" s="18">
        <v>43009</v>
      </c>
      <c r="B257" s="404">
        <v>43012</v>
      </c>
      <c r="C257" s="17" t="s">
        <v>13</v>
      </c>
      <c r="D257" s="17" t="s">
        <v>201</v>
      </c>
      <c r="E257" s="408" t="s">
        <v>1249</v>
      </c>
      <c r="F257" s="37" t="s">
        <v>330</v>
      </c>
      <c r="G257" s="37" t="s">
        <v>352</v>
      </c>
      <c r="H257" s="32">
        <v>10</v>
      </c>
      <c r="I257" s="83"/>
      <c r="J257" s="390">
        <v>8.4</v>
      </c>
      <c r="K257" s="32">
        <v>138</v>
      </c>
      <c r="L257" s="37">
        <v>495</v>
      </c>
      <c r="M257" s="37">
        <v>7.899</v>
      </c>
      <c r="N257" s="61">
        <f t="shared" si="3"/>
        <v>0.84</v>
      </c>
      <c r="O257" s="77"/>
      <c r="P257" s="77"/>
      <c r="Q257" s="37"/>
    </row>
    <row r="258" spans="1:17" ht="15" thickBot="1" x14ac:dyDescent="0.35">
      <c r="A258" s="18">
        <v>43009</v>
      </c>
      <c r="B258" s="404">
        <v>43012</v>
      </c>
      <c r="C258" s="17" t="s">
        <v>13</v>
      </c>
      <c r="D258" s="17" t="s">
        <v>201</v>
      </c>
      <c r="E258" s="408" t="s">
        <v>1250</v>
      </c>
      <c r="F258" s="37" t="s">
        <v>328</v>
      </c>
      <c r="G258" s="37" t="s">
        <v>353</v>
      </c>
      <c r="H258" s="32">
        <v>10</v>
      </c>
      <c r="I258" s="83"/>
      <c r="J258" s="390">
        <v>8.3740000000000006</v>
      </c>
      <c r="K258" s="32">
        <v>192</v>
      </c>
      <c r="L258" s="37">
        <v>590</v>
      </c>
      <c r="M258" s="37">
        <v>7.8129999999999997</v>
      </c>
      <c r="N258" s="61">
        <f t="shared" si="3"/>
        <v>0.83740000000000014</v>
      </c>
      <c r="O258" s="77"/>
      <c r="P258" s="77"/>
      <c r="Q258" s="37"/>
    </row>
    <row r="259" spans="1:17" ht="15" thickBot="1" x14ac:dyDescent="0.35">
      <c r="A259" s="18">
        <v>43009</v>
      </c>
      <c r="B259" s="404">
        <v>43012</v>
      </c>
      <c r="C259" s="17" t="s">
        <v>13</v>
      </c>
      <c r="D259" s="17" t="s">
        <v>201</v>
      </c>
      <c r="E259" s="408" t="s">
        <v>1251</v>
      </c>
      <c r="F259" s="37" t="s">
        <v>330</v>
      </c>
      <c r="G259" s="37" t="s">
        <v>354</v>
      </c>
      <c r="H259" s="32">
        <v>10.3</v>
      </c>
      <c r="I259" s="83"/>
      <c r="J259" s="390">
        <v>7.7256999999999998</v>
      </c>
      <c r="K259" s="32">
        <v>116</v>
      </c>
      <c r="L259" s="37">
        <v>374</v>
      </c>
      <c r="M259" s="37">
        <v>7.3659999999999997</v>
      </c>
      <c r="N259" s="61">
        <f t="shared" ref="N259:N304" si="4">100*J259/H259^3</f>
        <v>0.7070109917664702</v>
      </c>
      <c r="O259" s="77"/>
      <c r="P259" s="77"/>
      <c r="Q259" s="37"/>
    </row>
    <row r="260" spans="1:17" s="48" customFormat="1" ht="15" thickBot="1" x14ac:dyDescent="0.35">
      <c r="A260" s="68">
        <v>43009</v>
      </c>
      <c r="B260" s="404">
        <v>43012</v>
      </c>
      <c r="C260" s="67" t="s">
        <v>13</v>
      </c>
      <c r="D260" s="67" t="s">
        <v>201</v>
      </c>
      <c r="E260" s="408" t="s">
        <v>1252</v>
      </c>
      <c r="F260" s="48" t="s">
        <v>344</v>
      </c>
      <c r="G260" s="48" t="s">
        <v>355</v>
      </c>
      <c r="H260" s="190">
        <v>10.8</v>
      </c>
      <c r="I260" s="85"/>
      <c r="J260" s="396">
        <v>10.121499999999999</v>
      </c>
      <c r="K260" s="190">
        <v>176</v>
      </c>
      <c r="L260" s="48">
        <v>791</v>
      </c>
      <c r="M260" s="48">
        <v>9.3970000000000002</v>
      </c>
      <c r="N260" s="61">
        <f t="shared" si="4"/>
        <v>0.80347730274856455</v>
      </c>
      <c r="O260" s="86"/>
      <c r="P260" s="86"/>
    </row>
    <row r="261" spans="1:17" ht="15" thickBot="1" x14ac:dyDescent="0.35">
      <c r="A261" s="18">
        <v>43009</v>
      </c>
      <c r="B261" s="404">
        <v>43012</v>
      </c>
      <c r="C261" s="17" t="s">
        <v>13</v>
      </c>
      <c r="D261" s="17" t="s">
        <v>202</v>
      </c>
      <c r="E261" s="408" t="s">
        <v>1253</v>
      </c>
      <c r="F261" t="s">
        <v>344</v>
      </c>
      <c r="G261" t="s">
        <v>356</v>
      </c>
      <c r="H261" s="35">
        <v>11.4</v>
      </c>
      <c r="J261" s="399">
        <v>13.04</v>
      </c>
      <c r="K261" s="35">
        <v>158</v>
      </c>
      <c r="L261">
        <v>554</v>
      </c>
      <c r="M261">
        <v>12.4255</v>
      </c>
      <c r="N261" s="61">
        <f t="shared" si="4"/>
        <v>0.88016285712742914</v>
      </c>
      <c r="P261" t="s">
        <v>301</v>
      </c>
    </row>
    <row r="262" spans="1:17" ht="15" thickBot="1" x14ac:dyDescent="0.35">
      <c r="A262" s="18">
        <v>43009</v>
      </c>
      <c r="B262" s="404">
        <v>43012</v>
      </c>
      <c r="C262" s="17" t="s">
        <v>13</v>
      </c>
      <c r="D262" s="17" t="s">
        <v>202</v>
      </c>
      <c r="E262" s="408" t="s">
        <v>1254</v>
      </c>
      <c r="F262" t="s">
        <v>328</v>
      </c>
      <c r="G262" t="s">
        <v>357</v>
      </c>
      <c r="H262" s="35">
        <v>11.7</v>
      </c>
      <c r="J262" s="399">
        <v>11.981999999999999</v>
      </c>
      <c r="K262" s="35">
        <v>243</v>
      </c>
      <c r="L262">
        <v>830</v>
      </c>
      <c r="M262">
        <v>11.214700000000001</v>
      </c>
      <c r="N262" s="61">
        <f t="shared" si="4"/>
        <v>0.74812080071777631</v>
      </c>
      <c r="P262" t="s">
        <v>301</v>
      </c>
    </row>
    <row r="263" spans="1:17" ht="15" thickBot="1" x14ac:dyDescent="0.35">
      <c r="A263" s="18">
        <v>43009</v>
      </c>
      <c r="B263" s="404">
        <v>43012</v>
      </c>
      <c r="C263" s="17" t="s">
        <v>13</v>
      </c>
      <c r="D263" s="17" t="s">
        <v>202</v>
      </c>
      <c r="E263" s="408" t="s">
        <v>1255</v>
      </c>
      <c r="F263" t="s">
        <v>339</v>
      </c>
      <c r="G263" t="s">
        <v>358</v>
      </c>
      <c r="H263" s="35">
        <v>13</v>
      </c>
      <c r="J263" s="399">
        <v>18.11</v>
      </c>
      <c r="K263" s="35">
        <v>274</v>
      </c>
      <c r="L263">
        <v>1216</v>
      </c>
      <c r="M263">
        <v>16.8597</v>
      </c>
      <c r="N263" s="61">
        <f t="shared" si="4"/>
        <v>0.82430587164314972</v>
      </c>
      <c r="P263" t="s">
        <v>301</v>
      </c>
    </row>
    <row r="264" spans="1:17" ht="15" thickBot="1" x14ac:dyDescent="0.35">
      <c r="A264" s="18">
        <v>43009</v>
      </c>
      <c r="B264" s="404">
        <v>43012</v>
      </c>
      <c r="C264" s="17" t="s">
        <v>13</v>
      </c>
      <c r="D264" s="17" t="s">
        <v>202</v>
      </c>
      <c r="E264" s="408" t="s">
        <v>1256</v>
      </c>
      <c r="F264" t="s">
        <v>328</v>
      </c>
      <c r="G264" t="s">
        <v>359</v>
      </c>
      <c r="H264" s="35">
        <v>11.5</v>
      </c>
      <c r="J264" s="399">
        <v>12.05</v>
      </c>
      <c r="K264" s="35">
        <v>220</v>
      </c>
      <c r="L264">
        <v>770</v>
      </c>
      <c r="M264">
        <v>11.31</v>
      </c>
      <c r="N264" s="61">
        <f t="shared" si="4"/>
        <v>0.79230706008054574</v>
      </c>
      <c r="P264" t="s">
        <v>301</v>
      </c>
    </row>
    <row r="265" spans="1:17" ht="15" thickBot="1" x14ac:dyDescent="0.35">
      <c r="A265" s="18">
        <v>43009</v>
      </c>
      <c r="B265" s="404">
        <v>43012</v>
      </c>
      <c r="C265" s="17" t="s">
        <v>13</v>
      </c>
      <c r="D265" s="17" t="s">
        <v>202</v>
      </c>
      <c r="E265" s="408" t="s">
        <v>1257</v>
      </c>
      <c r="F265" t="s">
        <v>330</v>
      </c>
      <c r="G265" t="s">
        <v>360</v>
      </c>
      <c r="H265" s="35">
        <v>12</v>
      </c>
      <c r="J265" s="399">
        <v>12.525</v>
      </c>
      <c r="K265" s="35">
        <v>174.1</v>
      </c>
      <c r="L265">
        <v>616</v>
      </c>
      <c r="M265">
        <v>11.84</v>
      </c>
      <c r="N265" s="61">
        <f t="shared" si="4"/>
        <v>0.72482638888888884</v>
      </c>
      <c r="P265" t="s">
        <v>301</v>
      </c>
    </row>
    <row r="266" spans="1:17" ht="15" thickBot="1" x14ac:dyDescent="0.35">
      <c r="A266" s="18">
        <v>43009</v>
      </c>
      <c r="B266" s="405">
        <v>43018</v>
      </c>
      <c r="C266" s="17" t="s">
        <v>13</v>
      </c>
      <c r="D266" s="17" t="s">
        <v>202</v>
      </c>
      <c r="E266" s="410" t="s">
        <v>1258</v>
      </c>
      <c r="F266" t="s">
        <v>361</v>
      </c>
      <c r="G266" t="s">
        <v>362</v>
      </c>
      <c r="H266" s="35">
        <v>14.6</v>
      </c>
      <c r="J266" s="399">
        <v>25.8</v>
      </c>
      <c r="K266" s="35">
        <v>280</v>
      </c>
      <c r="L266">
        <v>1980</v>
      </c>
      <c r="M266">
        <v>23.8</v>
      </c>
      <c r="N266" s="61">
        <f t="shared" si="4"/>
        <v>0.8290126138446392</v>
      </c>
      <c r="P266" t="s">
        <v>301</v>
      </c>
    </row>
    <row r="267" spans="1:17" ht="15" thickBot="1" x14ac:dyDescent="0.35">
      <c r="A267" s="18">
        <v>43009</v>
      </c>
      <c r="B267" s="404">
        <v>43018</v>
      </c>
      <c r="C267" s="17" t="s">
        <v>13</v>
      </c>
      <c r="D267" s="17" t="s">
        <v>202</v>
      </c>
      <c r="E267" s="408" t="s">
        <v>1259</v>
      </c>
      <c r="F267" t="s">
        <v>363</v>
      </c>
      <c r="G267" t="s">
        <v>364</v>
      </c>
      <c r="H267" s="35">
        <v>11.6</v>
      </c>
      <c r="J267" s="399">
        <v>13.07</v>
      </c>
      <c r="K267" s="35">
        <v>240</v>
      </c>
      <c r="L267">
        <v>1390</v>
      </c>
      <c r="M267">
        <v>11.677</v>
      </c>
      <c r="N267" s="61">
        <f t="shared" si="4"/>
        <v>0.8373395793185453</v>
      </c>
      <c r="P267" t="s">
        <v>301</v>
      </c>
    </row>
    <row r="268" spans="1:17" ht="15" thickBot="1" x14ac:dyDescent="0.35">
      <c r="A268" s="18">
        <v>43009</v>
      </c>
      <c r="B268" s="404">
        <v>43012</v>
      </c>
      <c r="C268" s="17" t="s">
        <v>13</v>
      </c>
      <c r="D268" s="17" t="s">
        <v>202</v>
      </c>
      <c r="E268" s="408" t="s">
        <v>1260</v>
      </c>
      <c r="F268" t="s">
        <v>344</v>
      </c>
      <c r="G268" t="s">
        <v>365</v>
      </c>
      <c r="H268" s="35">
        <v>12.9</v>
      </c>
      <c r="J268" s="399">
        <v>17.367999999999999</v>
      </c>
      <c r="K268" s="35">
        <v>200</v>
      </c>
      <c r="L268">
        <v>945</v>
      </c>
      <c r="M268">
        <v>16.409199999999998</v>
      </c>
      <c r="N268" s="61">
        <f t="shared" si="4"/>
        <v>0.80905990574321673</v>
      </c>
      <c r="P268" t="s">
        <v>301</v>
      </c>
    </row>
    <row r="269" spans="1:17" s="48" customFormat="1" ht="15" thickBot="1" x14ac:dyDescent="0.35">
      <c r="A269" s="68">
        <v>43009</v>
      </c>
      <c r="B269" s="404">
        <v>43012</v>
      </c>
      <c r="C269" s="67" t="s">
        <v>13</v>
      </c>
      <c r="D269" s="67" t="s">
        <v>202</v>
      </c>
      <c r="E269" s="408" t="s">
        <v>1261</v>
      </c>
      <c r="F269" s="48" t="s">
        <v>344</v>
      </c>
      <c r="G269" s="48" t="s">
        <v>366</v>
      </c>
      <c r="H269" s="190">
        <v>15</v>
      </c>
      <c r="I269" s="190"/>
      <c r="J269" s="396">
        <v>10.121499999999999</v>
      </c>
      <c r="K269" s="190">
        <v>310</v>
      </c>
      <c r="L269" s="48">
        <v>1385</v>
      </c>
      <c r="M269" s="48">
        <v>30.4</v>
      </c>
      <c r="N269" s="61">
        <f t="shared" si="4"/>
        <v>0.29989629629629627</v>
      </c>
      <c r="P269" s="48" t="s">
        <v>301</v>
      </c>
    </row>
    <row r="270" spans="1:17" ht="15" thickBot="1" x14ac:dyDescent="0.35">
      <c r="A270" s="18">
        <v>43009</v>
      </c>
      <c r="B270" s="404">
        <v>43020</v>
      </c>
      <c r="C270" s="17" t="s">
        <v>14</v>
      </c>
      <c r="D270" s="17" t="s">
        <v>203</v>
      </c>
      <c r="E270" s="408" t="s">
        <v>1262</v>
      </c>
      <c r="F270" s="74" t="s">
        <v>367</v>
      </c>
      <c r="G270" s="74" t="s">
        <v>368</v>
      </c>
      <c r="H270" s="400">
        <v>8.4</v>
      </c>
      <c r="I270" s="400"/>
      <c r="J270" s="401">
        <v>6.5979999999999999</v>
      </c>
      <c r="K270" s="400">
        <v>98</v>
      </c>
      <c r="L270" s="74">
        <v>396</v>
      </c>
      <c r="M270" s="74">
        <v>6.069</v>
      </c>
      <c r="N270" s="61">
        <f t="shared" si="4"/>
        <v>1.1132032177950544</v>
      </c>
      <c r="O270" s="77"/>
      <c r="P270" s="77"/>
    </row>
    <row r="271" spans="1:17" ht="15" thickBot="1" x14ac:dyDescent="0.35">
      <c r="A271" s="18">
        <v>43009</v>
      </c>
      <c r="B271" s="404">
        <v>43011</v>
      </c>
      <c r="C271" s="17" t="s">
        <v>14</v>
      </c>
      <c r="D271" s="17" t="s">
        <v>203</v>
      </c>
      <c r="E271" s="408" t="s">
        <v>1263</v>
      </c>
      <c r="F271" s="37" t="s">
        <v>369</v>
      </c>
      <c r="G271" s="37" t="s">
        <v>370</v>
      </c>
      <c r="H271" s="32">
        <v>9.1999999999999993</v>
      </c>
      <c r="I271" s="32">
        <v>8.6</v>
      </c>
      <c r="J271" s="390">
        <v>5.6261000000000001</v>
      </c>
      <c r="K271" s="32">
        <v>53.8</v>
      </c>
      <c r="L271" s="37">
        <v>316.89999999999998</v>
      </c>
      <c r="M271" s="37">
        <v>5.2337999999999996</v>
      </c>
      <c r="N271" s="61">
        <f t="shared" si="4"/>
        <v>0.72251017095422065</v>
      </c>
      <c r="O271" s="77"/>
      <c r="P271" s="77"/>
    </row>
    <row r="272" spans="1:17" ht="15" thickBot="1" x14ac:dyDescent="0.35">
      <c r="A272" s="18">
        <v>43009</v>
      </c>
      <c r="B272" s="404">
        <v>43020</v>
      </c>
      <c r="C272" s="17" t="s">
        <v>14</v>
      </c>
      <c r="D272" s="17" t="s">
        <v>203</v>
      </c>
      <c r="E272" s="408" t="s">
        <v>1264</v>
      </c>
      <c r="F272" s="37" t="s">
        <v>367</v>
      </c>
      <c r="G272" s="37" t="s">
        <v>371</v>
      </c>
      <c r="H272" s="32">
        <v>9.6</v>
      </c>
      <c r="I272" s="32">
        <v>8.9</v>
      </c>
      <c r="J272" s="390">
        <v>6.2270000000000003</v>
      </c>
      <c r="K272" s="32">
        <v>65</v>
      </c>
      <c r="L272" s="37">
        <v>338.3</v>
      </c>
      <c r="M272" s="37">
        <v>5.6970000000000001</v>
      </c>
      <c r="N272" s="61">
        <f t="shared" si="4"/>
        <v>0.70382577401620372</v>
      </c>
      <c r="O272" s="77"/>
      <c r="P272" s="77"/>
    </row>
    <row r="273" spans="1:16" ht="15" thickBot="1" x14ac:dyDescent="0.35">
      <c r="A273" s="18">
        <v>43009</v>
      </c>
      <c r="B273" s="404">
        <v>43020</v>
      </c>
      <c r="C273" s="17" t="s">
        <v>14</v>
      </c>
      <c r="D273" s="17" t="s">
        <v>203</v>
      </c>
      <c r="E273" s="408" t="s">
        <v>1265</v>
      </c>
      <c r="F273" s="37" t="s">
        <v>367</v>
      </c>
      <c r="G273" s="37" t="s">
        <v>372</v>
      </c>
      <c r="H273" s="32">
        <v>10</v>
      </c>
      <c r="I273" s="32">
        <v>9.4</v>
      </c>
      <c r="J273" s="390">
        <v>9.4329999999999998</v>
      </c>
      <c r="K273" s="32">
        <v>107.4</v>
      </c>
      <c r="L273" s="37">
        <v>830</v>
      </c>
      <c r="M273" s="37">
        <v>8.4179999999999993</v>
      </c>
      <c r="N273" s="61">
        <f t="shared" si="4"/>
        <v>0.94329999999999992</v>
      </c>
      <c r="O273" s="77"/>
      <c r="P273" s="77" t="s">
        <v>301</v>
      </c>
    </row>
    <row r="274" spans="1:16" ht="15" thickBot="1" x14ac:dyDescent="0.35">
      <c r="A274" s="18">
        <v>43009</v>
      </c>
      <c r="B274" s="404">
        <v>43020</v>
      </c>
      <c r="C274" s="17" t="s">
        <v>14</v>
      </c>
      <c r="D274" s="17" t="s">
        <v>203</v>
      </c>
      <c r="E274" s="408" t="s">
        <v>1266</v>
      </c>
      <c r="F274" s="37" t="s">
        <v>367</v>
      </c>
      <c r="G274" s="37" t="s">
        <v>373</v>
      </c>
      <c r="H274" s="32">
        <v>10.7</v>
      </c>
      <c r="I274" s="32">
        <v>10.199999999999999</v>
      </c>
      <c r="J274" s="390">
        <v>9.423</v>
      </c>
      <c r="K274" s="32">
        <v>87</v>
      </c>
      <c r="L274" s="37">
        <v>644.5</v>
      </c>
      <c r="M274" s="37">
        <v>8.7739999999999991</v>
      </c>
      <c r="N274" s="61">
        <f t="shared" si="4"/>
        <v>0.76919748939425003</v>
      </c>
      <c r="O274" s="77"/>
      <c r="P274" s="77" t="s">
        <v>301</v>
      </c>
    </row>
    <row r="275" spans="1:16" ht="15" thickBot="1" x14ac:dyDescent="0.35">
      <c r="A275" s="18">
        <v>43009</v>
      </c>
      <c r="B275" s="404">
        <v>43011</v>
      </c>
      <c r="C275" s="17" t="s">
        <v>14</v>
      </c>
      <c r="D275" s="17" t="s">
        <v>203</v>
      </c>
      <c r="E275" s="408" t="s">
        <v>1267</v>
      </c>
      <c r="F275" s="37" t="s">
        <v>374</v>
      </c>
      <c r="G275" s="37" t="s">
        <v>375</v>
      </c>
      <c r="H275" s="32">
        <v>9</v>
      </c>
      <c r="I275" s="32"/>
      <c r="J275" s="390">
        <v>5.65</v>
      </c>
      <c r="K275" s="32">
        <v>95</v>
      </c>
      <c r="L275" s="37">
        <v>433</v>
      </c>
      <c r="M275" s="37">
        <v>5.0549999999999997</v>
      </c>
      <c r="N275" s="61">
        <f t="shared" si="4"/>
        <v>0.77503429355281206</v>
      </c>
      <c r="O275" s="77"/>
      <c r="P275" s="77"/>
    </row>
    <row r="276" spans="1:16" ht="15" thickBot="1" x14ac:dyDescent="0.35">
      <c r="A276" s="18">
        <v>43009</v>
      </c>
      <c r="B276" s="404">
        <v>43020</v>
      </c>
      <c r="C276" s="17" t="s">
        <v>14</v>
      </c>
      <c r="D276" s="17" t="s">
        <v>203</v>
      </c>
      <c r="E276" s="408" t="s">
        <v>1268</v>
      </c>
      <c r="F276" s="37" t="s">
        <v>367</v>
      </c>
      <c r="G276" s="37" t="s">
        <v>376</v>
      </c>
      <c r="H276" s="32">
        <v>9.8000000000000007</v>
      </c>
      <c r="I276" s="32"/>
      <c r="J276" s="390">
        <v>7.6349999999999998</v>
      </c>
      <c r="K276" s="32">
        <v>112</v>
      </c>
      <c r="L276" s="37">
        <v>466</v>
      </c>
      <c r="M276" s="37">
        <v>7</v>
      </c>
      <c r="N276" s="61">
        <f t="shared" si="4"/>
        <v>0.81120536511147545</v>
      </c>
      <c r="O276" s="77"/>
      <c r="P276" s="77"/>
    </row>
    <row r="277" spans="1:16" s="48" customFormat="1" ht="15" thickBot="1" x14ac:dyDescent="0.35">
      <c r="A277" s="68">
        <v>43009</v>
      </c>
      <c r="B277" s="404">
        <v>43011</v>
      </c>
      <c r="C277" s="67" t="s">
        <v>14</v>
      </c>
      <c r="D277" s="67" t="s">
        <v>203</v>
      </c>
      <c r="E277" s="408" t="s">
        <v>1269</v>
      </c>
      <c r="F277" s="48" t="s">
        <v>369</v>
      </c>
      <c r="G277" s="48" t="s">
        <v>377</v>
      </c>
      <c r="H277" s="190">
        <v>10.7</v>
      </c>
      <c r="I277" s="190">
        <v>10</v>
      </c>
      <c r="J277" s="396">
        <v>10.339</v>
      </c>
      <c r="K277" s="190">
        <v>86</v>
      </c>
      <c r="L277" s="48">
        <v>599.20000000000005</v>
      </c>
      <c r="M277" s="48">
        <v>9.4436</v>
      </c>
      <c r="N277" s="61">
        <f t="shared" si="4"/>
        <v>0.84397037491745219</v>
      </c>
      <c r="O277" s="86"/>
      <c r="P277" s="86" t="s">
        <v>301</v>
      </c>
    </row>
    <row r="278" spans="1:16" ht="15" thickBot="1" x14ac:dyDescent="0.35">
      <c r="A278" s="18">
        <v>43009</v>
      </c>
      <c r="B278" s="404">
        <v>43020</v>
      </c>
      <c r="C278" s="17" t="s">
        <v>14</v>
      </c>
      <c r="D278" s="17" t="s">
        <v>204</v>
      </c>
      <c r="E278" s="408" t="s">
        <v>1270</v>
      </c>
      <c r="F278" s="37" t="s">
        <v>367</v>
      </c>
      <c r="G278" s="37" t="s">
        <v>378</v>
      </c>
      <c r="H278" s="32">
        <v>9.3000000000000007</v>
      </c>
      <c r="I278" s="32"/>
      <c r="J278" s="390">
        <v>6.3529999999999998</v>
      </c>
      <c r="K278" s="32">
        <v>65</v>
      </c>
      <c r="L278" s="37">
        <v>443</v>
      </c>
      <c r="M278" s="37">
        <v>5.7480000000000002</v>
      </c>
      <c r="N278" s="61">
        <f t="shared" si="4"/>
        <v>0.78982342417608076</v>
      </c>
      <c r="O278" s="77"/>
      <c r="P278" s="77"/>
    </row>
    <row r="279" spans="1:16" ht="15" thickBot="1" x14ac:dyDescent="0.35">
      <c r="A279" s="18">
        <v>43009</v>
      </c>
      <c r="B279" s="404">
        <v>43020</v>
      </c>
      <c r="C279" s="17" t="s">
        <v>14</v>
      </c>
      <c r="D279" s="17" t="s">
        <v>204</v>
      </c>
      <c r="E279" s="408" t="s">
        <v>1271</v>
      </c>
      <c r="F279" s="37" t="s">
        <v>367</v>
      </c>
      <c r="G279" s="37" t="s">
        <v>379</v>
      </c>
      <c r="H279" s="32">
        <v>10</v>
      </c>
      <c r="I279" s="32">
        <v>9.4</v>
      </c>
      <c r="J279" s="390">
        <v>7.9050000000000002</v>
      </c>
      <c r="K279" s="32">
        <v>79.400000000000006</v>
      </c>
      <c r="L279" s="37">
        <v>289.3</v>
      </c>
      <c r="M279" s="37">
        <v>7.4950000000000001</v>
      </c>
      <c r="N279" s="61">
        <f t="shared" si="4"/>
        <v>0.79049999999999998</v>
      </c>
      <c r="O279" s="77"/>
      <c r="P279" s="77" t="s">
        <v>301</v>
      </c>
    </row>
    <row r="280" spans="1:16" ht="15" thickBot="1" x14ac:dyDescent="0.35">
      <c r="A280" s="18">
        <v>43009</v>
      </c>
      <c r="B280" s="404">
        <v>43020</v>
      </c>
      <c r="C280" s="17" t="s">
        <v>14</v>
      </c>
      <c r="D280" s="17" t="s">
        <v>204</v>
      </c>
      <c r="E280" s="408" t="s">
        <v>1272</v>
      </c>
      <c r="F280" s="37" t="s">
        <v>367</v>
      </c>
      <c r="G280" s="37" t="s">
        <v>380</v>
      </c>
      <c r="H280" s="32">
        <v>9.5</v>
      </c>
      <c r="I280" s="32">
        <v>8.9</v>
      </c>
      <c r="J280" s="390">
        <v>6.5810000000000004</v>
      </c>
      <c r="K280" s="32">
        <v>86.3</v>
      </c>
      <c r="L280" s="37">
        <v>341.9</v>
      </c>
      <c r="M280" s="37">
        <v>6.133</v>
      </c>
      <c r="N280" s="61">
        <f t="shared" si="4"/>
        <v>0.76757544831608104</v>
      </c>
      <c r="O280" s="77"/>
      <c r="P280" s="77"/>
    </row>
    <row r="281" spans="1:16" ht="15" thickBot="1" x14ac:dyDescent="0.35">
      <c r="A281" s="18">
        <v>43009</v>
      </c>
      <c r="B281" s="404">
        <v>43020</v>
      </c>
      <c r="C281" s="17" t="s">
        <v>14</v>
      </c>
      <c r="D281" s="17" t="s">
        <v>204</v>
      </c>
      <c r="E281" s="408" t="s">
        <v>1273</v>
      </c>
      <c r="F281" s="37" t="s">
        <v>367</v>
      </c>
      <c r="G281" s="37" t="s">
        <v>381</v>
      </c>
      <c r="H281" s="32">
        <v>9.9</v>
      </c>
      <c r="I281" s="32"/>
      <c r="J281" s="390">
        <v>7.7130000000000001</v>
      </c>
      <c r="K281" s="32">
        <v>65</v>
      </c>
      <c r="L281" s="37">
        <v>434</v>
      </c>
      <c r="M281" s="37">
        <v>7.1660000000000004</v>
      </c>
      <c r="N281" s="61">
        <f t="shared" si="4"/>
        <v>0.79490961033660745</v>
      </c>
      <c r="O281" s="77"/>
      <c r="P281" s="77"/>
    </row>
    <row r="282" spans="1:16" ht="15" thickBot="1" x14ac:dyDescent="0.35">
      <c r="A282" s="18">
        <v>43009</v>
      </c>
      <c r="B282" s="404">
        <v>43020</v>
      </c>
      <c r="C282" s="17" t="s">
        <v>14</v>
      </c>
      <c r="D282" s="17" t="s">
        <v>204</v>
      </c>
      <c r="E282" s="408" t="s">
        <v>1274</v>
      </c>
      <c r="F282" s="37" t="s">
        <v>367</v>
      </c>
      <c r="G282" s="37" t="s">
        <v>382</v>
      </c>
      <c r="H282" s="32">
        <v>10.5</v>
      </c>
      <c r="I282" s="32">
        <v>9.6999999999999993</v>
      </c>
      <c r="J282" s="390">
        <v>8.0410000000000004</v>
      </c>
      <c r="K282" s="32">
        <v>102</v>
      </c>
      <c r="L282" s="37">
        <v>503.4</v>
      </c>
      <c r="M282" s="37">
        <v>7.3879999999999999</v>
      </c>
      <c r="N282" s="61">
        <f t="shared" si="4"/>
        <v>0.69461181297915997</v>
      </c>
      <c r="O282" s="77"/>
      <c r="P282" s="77" t="s">
        <v>301</v>
      </c>
    </row>
    <row r="283" spans="1:16" s="48" customFormat="1" ht="15" thickBot="1" x14ac:dyDescent="0.35">
      <c r="A283" s="68">
        <v>43009</v>
      </c>
      <c r="B283" s="404">
        <v>43020</v>
      </c>
      <c r="C283" s="67" t="s">
        <v>14</v>
      </c>
      <c r="D283" s="67" t="s">
        <v>204</v>
      </c>
      <c r="E283" s="408" t="s">
        <v>1275</v>
      </c>
      <c r="F283" s="48" t="s">
        <v>367</v>
      </c>
      <c r="G283" s="48" t="s">
        <v>383</v>
      </c>
      <c r="H283" s="190">
        <v>10.9</v>
      </c>
      <c r="I283" s="190"/>
      <c r="J283" s="396">
        <v>9.6999999999999993</v>
      </c>
      <c r="K283" s="190">
        <v>143</v>
      </c>
      <c r="L283" s="48">
        <v>572</v>
      </c>
      <c r="M283" s="48">
        <v>8.8970000000000002</v>
      </c>
      <c r="N283" s="61">
        <f t="shared" si="4"/>
        <v>0.74901797565923223</v>
      </c>
      <c r="O283" s="86"/>
      <c r="P283" s="86" t="s">
        <v>301</v>
      </c>
    </row>
    <row r="284" spans="1:16" ht="15" thickBot="1" x14ac:dyDescent="0.35">
      <c r="A284" s="18">
        <v>43009</v>
      </c>
      <c r="B284" s="404">
        <v>43011</v>
      </c>
      <c r="C284" s="17" t="s">
        <v>14</v>
      </c>
      <c r="D284" s="17" t="s">
        <v>205</v>
      </c>
      <c r="E284" s="408" t="s">
        <v>1276</v>
      </c>
      <c r="F284" t="s">
        <v>384</v>
      </c>
      <c r="G284" t="s">
        <v>385</v>
      </c>
      <c r="H284" s="35">
        <v>11</v>
      </c>
      <c r="I284" s="35">
        <v>10.3</v>
      </c>
      <c r="J284" s="399">
        <v>9.8637999999999995</v>
      </c>
      <c r="K284" s="35">
        <v>133</v>
      </c>
      <c r="L284">
        <v>389</v>
      </c>
      <c r="M284">
        <v>9.2720000000000002</v>
      </c>
      <c r="N284" s="61">
        <f t="shared" si="4"/>
        <v>0.74108189331329832</v>
      </c>
      <c r="P284" t="s">
        <v>301</v>
      </c>
    </row>
    <row r="285" spans="1:16" ht="15" thickBot="1" x14ac:dyDescent="0.35">
      <c r="A285" s="18">
        <v>43009</v>
      </c>
      <c r="B285" s="404">
        <v>43020</v>
      </c>
      <c r="C285" s="17" t="s">
        <v>14</v>
      </c>
      <c r="D285" s="17" t="s">
        <v>205</v>
      </c>
      <c r="E285" s="408" t="s">
        <v>1277</v>
      </c>
      <c r="F285" t="s">
        <v>367</v>
      </c>
      <c r="G285" t="s">
        <v>386</v>
      </c>
      <c r="H285" s="35">
        <v>11.8</v>
      </c>
      <c r="J285" s="399">
        <v>13.629</v>
      </c>
      <c r="K285" s="35">
        <v>162</v>
      </c>
      <c r="L285">
        <v>828</v>
      </c>
      <c r="M285">
        <v>12.425000000000001</v>
      </c>
      <c r="N285" s="61">
        <f t="shared" si="4"/>
        <v>0.82950301637460488</v>
      </c>
      <c r="P285" t="s">
        <v>301</v>
      </c>
    </row>
    <row r="286" spans="1:16" ht="15" thickBot="1" x14ac:dyDescent="0.35">
      <c r="A286" s="18">
        <v>43009</v>
      </c>
      <c r="B286" s="404">
        <v>43020</v>
      </c>
      <c r="C286" s="17" t="s">
        <v>14</v>
      </c>
      <c r="D286" s="17" t="s">
        <v>205</v>
      </c>
      <c r="E286" s="408" t="s">
        <v>1278</v>
      </c>
      <c r="F286" t="s">
        <v>367</v>
      </c>
      <c r="G286" t="s">
        <v>387</v>
      </c>
      <c r="H286" s="35">
        <v>11.9</v>
      </c>
      <c r="J286" s="399">
        <v>14.179</v>
      </c>
      <c r="K286" s="35">
        <v>259</v>
      </c>
      <c r="L286">
        <v>957</v>
      </c>
      <c r="M286">
        <v>12.879</v>
      </c>
      <c r="N286" s="61">
        <f t="shared" si="4"/>
        <v>0.84140428291929725</v>
      </c>
      <c r="P286" t="s">
        <v>301</v>
      </c>
    </row>
    <row r="287" spans="1:16" ht="15" thickBot="1" x14ac:dyDescent="0.35">
      <c r="A287" s="18">
        <v>43009</v>
      </c>
      <c r="B287" s="404">
        <v>43020</v>
      </c>
      <c r="C287" s="17" t="s">
        <v>14</v>
      </c>
      <c r="D287" s="17" t="s">
        <v>205</v>
      </c>
      <c r="E287" s="408" t="s">
        <v>1279</v>
      </c>
      <c r="F287" t="s">
        <v>367</v>
      </c>
      <c r="G287" t="s">
        <v>388</v>
      </c>
      <c r="H287" s="35">
        <v>12.1</v>
      </c>
      <c r="J287" s="399">
        <v>13.832000000000001</v>
      </c>
      <c r="K287" s="35">
        <v>133</v>
      </c>
      <c r="L287">
        <v>604</v>
      </c>
      <c r="M287">
        <v>13.025</v>
      </c>
      <c r="N287" s="61">
        <f t="shared" si="4"/>
        <v>0.78078034005038499</v>
      </c>
      <c r="P287" t="s">
        <v>301</v>
      </c>
    </row>
    <row r="288" spans="1:16" ht="15" thickBot="1" x14ac:dyDescent="0.35">
      <c r="A288" s="18">
        <v>43009</v>
      </c>
      <c r="B288" s="404">
        <v>43020</v>
      </c>
      <c r="C288" s="17" t="s">
        <v>14</v>
      </c>
      <c r="D288" s="17" t="s">
        <v>205</v>
      </c>
      <c r="E288" s="408" t="s">
        <v>1280</v>
      </c>
      <c r="F288" t="s">
        <v>367</v>
      </c>
      <c r="G288" t="s">
        <v>389</v>
      </c>
      <c r="H288" s="35">
        <v>13.2</v>
      </c>
      <c r="J288" s="399">
        <v>19.395</v>
      </c>
      <c r="K288" s="35">
        <v>205</v>
      </c>
      <c r="L288">
        <v>1420</v>
      </c>
      <c r="M288">
        <v>17.614999999999998</v>
      </c>
      <c r="N288" s="61">
        <f t="shared" si="4"/>
        <v>0.84327260205359389</v>
      </c>
      <c r="P288" t="s">
        <v>301</v>
      </c>
    </row>
    <row r="289" spans="1:16" ht="15" thickBot="1" x14ac:dyDescent="0.35">
      <c r="A289" s="18">
        <v>43009</v>
      </c>
      <c r="B289" s="404">
        <v>43020</v>
      </c>
      <c r="C289" s="17" t="s">
        <v>14</v>
      </c>
      <c r="D289" s="17" t="s">
        <v>205</v>
      </c>
      <c r="E289" s="408" t="s">
        <v>1281</v>
      </c>
      <c r="F289" t="s">
        <v>367</v>
      </c>
      <c r="G289" t="s">
        <v>390</v>
      </c>
      <c r="H289" s="35">
        <v>14</v>
      </c>
      <c r="J289" s="399">
        <v>25.158000000000001</v>
      </c>
      <c r="K289" s="35">
        <v>325</v>
      </c>
      <c r="L289">
        <v>1993</v>
      </c>
      <c r="M289">
        <v>22.847000000000001</v>
      </c>
      <c r="N289" s="61">
        <f t="shared" si="4"/>
        <v>0.91683673469387761</v>
      </c>
      <c r="P289" t="s">
        <v>301</v>
      </c>
    </row>
    <row r="290" spans="1:16" ht="15" thickBot="1" x14ac:dyDescent="0.35">
      <c r="A290" s="18">
        <v>43009</v>
      </c>
      <c r="B290" s="404">
        <v>43020</v>
      </c>
      <c r="C290" s="17" t="s">
        <v>14</v>
      </c>
      <c r="D290" s="17" t="s">
        <v>205</v>
      </c>
      <c r="E290" s="408" t="s">
        <v>1282</v>
      </c>
      <c r="F290" t="s">
        <v>367</v>
      </c>
      <c r="G290" t="s">
        <v>391</v>
      </c>
      <c r="H290" s="35">
        <v>14.7</v>
      </c>
      <c r="I290" s="35">
        <v>13.9</v>
      </c>
      <c r="J290" s="399">
        <v>31.48</v>
      </c>
      <c r="K290" s="35">
        <v>444.7</v>
      </c>
      <c r="L290">
        <v>1689</v>
      </c>
      <c r="M290">
        <v>29.49</v>
      </c>
      <c r="N290" s="61">
        <f t="shared" si="4"/>
        <v>0.99102068519573139</v>
      </c>
      <c r="P290" t="s">
        <v>301</v>
      </c>
    </row>
    <row r="291" spans="1:16" ht="15" thickBot="1" x14ac:dyDescent="0.35">
      <c r="A291" s="18">
        <v>43009</v>
      </c>
      <c r="B291" s="404">
        <v>43020</v>
      </c>
      <c r="C291" s="17" t="s">
        <v>14</v>
      </c>
      <c r="D291" s="17" t="s">
        <v>205</v>
      </c>
      <c r="E291" s="408" t="s">
        <v>1283</v>
      </c>
      <c r="F291" t="s">
        <v>367</v>
      </c>
      <c r="G291" t="s">
        <v>392</v>
      </c>
      <c r="H291" s="35">
        <v>11.3</v>
      </c>
      <c r="J291" s="399">
        <v>12.244</v>
      </c>
      <c r="K291" s="35">
        <v>158</v>
      </c>
      <c r="L291">
        <v>602</v>
      </c>
      <c r="M291">
        <v>11.428000000000001</v>
      </c>
      <c r="N291" s="61">
        <f t="shared" si="4"/>
        <v>0.84857061869281036</v>
      </c>
      <c r="P291" t="s">
        <v>301</v>
      </c>
    </row>
    <row r="292" spans="1:16" ht="15" thickBot="1" x14ac:dyDescent="0.35">
      <c r="A292" s="18">
        <v>43009</v>
      </c>
      <c r="B292" s="404">
        <v>43020</v>
      </c>
      <c r="C292" s="17" t="s">
        <v>14</v>
      </c>
      <c r="D292" s="17" t="s">
        <v>205</v>
      </c>
      <c r="E292" s="408" t="s">
        <v>1284</v>
      </c>
      <c r="F292" t="s">
        <v>367</v>
      </c>
      <c r="G292" t="s">
        <v>393</v>
      </c>
      <c r="H292" s="35">
        <v>11.8</v>
      </c>
      <c r="J292" s="399">
        <v>13.583</v>
      </c>
      <c r="K292" s="35">
        <v>177</v>
      </c>
      <c r="L292">
        <v>610</v>
      </c>
      <c r="M292">
        <v>12.734999999999999</v>
      </c>
      <c r="N292" s="61">
        <f t="shared" si="4"/>
        <v>0.82670331436028011</v>
      </c>
      <c r="P292" t="s">
        <v>301</v>
      </c>
    </row>
    <row r="293" spans="1:16" s="48" customFormat="1" ht="15" thickBot="1" x14ac:dyDescent="0.35">
      <c r="A293" s="68">
        <v>43009</v>
      </c>
      <c r="B293" s="404">
        <v>43011</v>
      </c>
      <c r="C293" s="67" t="s">
        <v>14</v>
      </c>
      <c r="D293" s="67" t="s">
        <v>205</v>
      </c>
      <c r="E293" s="408" t="s">
        <v>1285</v>
      </c>
      <c r="F293" s="48" t="s">
        <v>374</v>
      </c>
      <c r="G293" s="48" t="s">
        <v>394</v>
      </c>
      <c r="H293" s="190">
        <v>12</v>
      </c>
      <c r="I293" s="190">
        <v>11.4</v>
      </c>
      <c r="J293" s="396">
        <v>14.99</v>
      </c>
      <c r="K293" s="190">
        <v>219</v>
      </c>
      <c r="L293" s="48">
        <v>1336</v>
      </c>
      <c r="M293" s="48">
        <v>13.374000000000001</v>
      </c>
      <c r="N293" s="61">
        <f t="shared" si="4"/>
        <v>0.86747685185185186</v>
      </c>
      <c r="P293" s="48" t="s">
        <v>301</v>
      </c>
    </row>
    <row r="294" spans="1:16" ht="15" thickBot="1" x14ac:dyDescent="0.35">
      <c r="A294" s="18">
        <v>43009</v>
      </c>
      <c r="B294" s="404">
        <v>43011</v>
      </c>
      <c r="C294" s="17" t="s">
        <v>14</v>
      </c>
      <c r="D294" s="17" t="s">
        <v>206</v>
      </c>
      <c r="E294" s="408" t="s">
        <v>1286</v>
      </c>
      <c r="F294" t="s">
        <v>369</v>
      </c>
      <c r="G294" t="s">
        <v>395</v>
      </c>
      <c r="H294" s="35">
        <v>12.2</v>
      </c>
      <c r="I294" s="35">
        <v>11.7</v>
      </c>
      <c r="J294" s="399">
        <v>15.678000000000001</v>
      </c>
      <c r="K294" s="35">
        <v>592</v>
      </c>
      <c r="L294">
        <v>1011</v>
      </c>
      <c r="M294">
        <v>14.356999999999999</v>
      </c>
      <c r="N294" s="61">
        <f t="shared" si="4"/>
        <v>0.86339825800397418</v>
      </c>
      <c r="P294" t="s">
        <v>301</v>
      </c>
    </row>
    <row r="295" spans="1:16" ht="15" thickBot="1" x14ac:dyDescent="0.35">
      <c r="A295" s="18">
        <v>43009</v>
      </c>
      <c r="B295" s="404">
        <v>43011</v>
      </c>
      <c r="C295" s="17" t="s">
        <v>14</v>
      </c>
      <c r="D295" s="17" t="s">
        <v>206</v>
      </c>
      <c r="E295" s="408" t="s">
        <v>1287</v>
      </c>
      <c r="F295" t="s">
        <v>396</v>
      </c>
      <c r="G295" t="s">
        <v>397</v>
      </c>
      <c r="H295" s="35">
        <v>13.7</v>
      </c>
      <c r="J295" s="399">
        <v>21.337</v>
      </c>
      <c r="K295" s="35">
        <v>221</v>
      </c>
      <c r="L295">
        <v>807</v>
      </c>
      <c r="M295">
        <v>20.210999999999999</v>
      </c>
      <c r="N295" s="61">
        <f t="shared" si="4"/>
        <v>0.82979660902256525</v>
      </c>
      <c r="P295" t="s">
        <v>301</v>
      </c>
    </row>
    <row r="296" spans="1:16" ht="15" thickBot="1" x14ac:dyDescent="0.35">
      <c r="A296" s="18">
        <v>43009</v>
      </c>
      <c r="B296" s="404">
        <v>43020</v>
      </c>
      <c r="C296" s="17" t="s">
        <v>14</v>
      </c>
      <c r="D296" s="17" t="s">
        <v>206</v>
      </c>
      <c r="E296" s="408" t="s">
        <v>1288</v>
      </c>
      <c r="F296" t="s">
        <v>367</v>
      </c>
      <c r="G296" t="s">
        <v>398</v>
      </c>
      <c r="H296" s="35">
        <v>14.1</v>
      </c>
      <c r="J296" s="399">
        <v>21.315000000000001</v>
      </c>
      <c r="K296" s="35">
        <v>206</v>
      </c>
      <c r="L296">
        <v>972</v>
      </c>
      <c r="M296">
        <v>20.04</v>
      </c>
      <c r="N296" s="61">
        <f t="shared" si="4"/>
        <v>0.76037529684602101</v>
      </c>
      <c r="P296" t="s">
        <v>301</v>
      </c>
    </row>
    <row r="297" spans="1:16" ht="15" thickBot="1" x14ac:dyDescent="0.35">
      <c r="A297" s="18">
        <v>43009</v>
      </c>
      <c r="B297" s="404">
        <v>43011</v>
      </c>
      <c r="C297" s="17" t="s">
        <v>14</v>
      </c>
      <c r="D297" s="17" t="s">
        <v>206</v>
      </c>
      <c r="E297" s="408" t="s">
        <v>1289</v>
      </c>
      <c r="F297" t="s">
        <v>266</v>
      </c>
      <c r="G297" t="s">
        <v>399</v>
      </c>
      <c r="H297" s="35">
        <v>15.4</v>
      </c>
      <c r="J297" s="399">
        <v>31.817</v>
      </c>
      <c r="K297" s="35">
        <v>396</v>
      </c>
      <c r="L297">
        <v>2383</v>
      </c>
      <c r="M297">
        <v>28.6</v>
      </c>
      <c r="N297" s="61">
        <f t="shared" si="4"/>
        <v>0.87115827333401952</v>
      </c>
      <c r="P297" t="s">
        <v>301</v>
      </c>
    </row>
    <row r="298" spans="1:16" ht="15" thickBot="1" x14ac:dyDescent="0.35">
      <c r="A298" s="18">
        <v>43009</v>
      </c>
      <c r="B298" s="404">
        <v>43020</v>
      </c>
      <c r="C298" s="17" t="s">
        <v>14</v>
      </c>
      <c r="D298" s="17" t="s">
        <v>206</v>
      </c>
      <c r="E298" s="408" t="s">
        <v>1290</v>
      </c>
      <c r="F298" t="s">
        <v>367</v>
      </c>
      <c r="G298" t="s">
        <v>400</v>
      </c>
      <c r="H298" s="35">
        <v>11.3</v>
      </c>
      <c r="I298" s="35">
        <v>10.5</v>
      </c>
      <c r="J298" s="399">
        <v>12.000999999999999</v>
      </c>
      <c r="K298" s="35">
        <v>91.8</v>
      </c>
      <c r="L298">
        <v>441.7</v>
      </c>
      <c r="M298">
        <v>11.406000000000001</v>
      </c>
      <c r="N298" s="61">
        <f t="shared" si="4"/>
        <v>0.8317294997494622</v>
      </c>
      <c r="P298" t="s">
        <v>301</v>
      </c>
    </row>
    <row r="299" spans="1:16" ht="15" thickBot="1" x14ac:dyDescent="0.35">
      <c r="A299" s="18">
        <v>43009</v>
      </c>
      <c r="B299" s="404">
        <v>43011</v>
      </c>
      <c r="C299" s="17" t="s">
        <v>14</v>
      </c>
      <c r="D299" s="17" t="s">
        <v>206</v>
      </c>
      <c r="E299" s="408" t="s">
        <v>1291</v>
      </c>
      <c r="F299" t="s">
        <v>384</v>
      </c>
      <c r="G299" t="s">
        <v>401</v>
      </c>
      <c r="H299" s="35">
        <v>11.9</v>
      </c>
      <c r="J299" s="399">
        <v>12.722</v>
      </c>
      <c r="K299" s="35">
        <v>140</v>
      </c>
      <c r="L299">
        <v>570</v>
      </c>
      <c r="M299">
        <v>11.74</v>
      </c>
      <c r="N299" s="61">
        <f t="shared" si="4"/>
        <v>0.75494359879394168</v>
      </c>
      <c r="P299" t="s">
        <v>301</v>
      </c>
    </row>
    <row r="300" spans="1:16" ht="15" thickBot="1" x14ac:dyDescent="0.35">
      <c r="A300" s="18">
        <v>43009</v>
      </c>
      <c r="B300" s="404">
        <v>43020</v>
      </c>
      <c r="C300" s="17" t="s">
        <v>14</v>
      </c>
      <c r="D300" s="17" t="s">
        <v>206</v>
      </c>
      <c r="E300" s="408" t="s">
        <v>1292</v>
      </c>
      <c r="F300" t="s">
        <v>367</v>
      </c>
      <c r="G300" t="s">
        <v>402</v>
      </c>
      <c r="H300" s="35">
        <v>12</v>
      </c>
      <c r="I300" s="35">
        <v>11.6</v>
      </c>
      <c r="J300" s="399">
        <v>15.563000000000001</v>
      </c>
      <c r="K300" s="35">
        <v>295.2</v>
      </c>
      <c r="L300">
        <v>607.70000000000005</v>
      </c>
      <c r="M300">
        <v>14.589</v>
      </c>
      <c r="N300" s="61">
        <f t="shared" si="4"/>
        <v>0.90063657407407405</v>
      </c>
      <c r="P300" t="s">
        <v>301</v>
      </c>
    </row>
    <row r="301" spans="1:16" ht="15" thickBot="1" x14ac:dyDescent="0.35">
      <c r="A301" s="18">
        <v>43009</v>
      </c>
      <c r="B301" s="404">
        <v>43020</v>
      </c>
      <c r="C301" s="17" t="s">
        <v>14</v>
      </c>
      <c r="D301" s="17" t="s">
        <v>206</v>
      </c>
      <c r="E301" s="408" t="s">
        <v>1293</v>
      </c>
      <c r="F301" t="s">
        <v>367</v>
      </c>
      <c r="G301" t="s">
        <v>403</v>
      </c>
      <c r="H301" s="35">
        <v>12.8</v>
      </c>
      <c r="J301" s="399">
        <v>19.942</v>
      </c>
      <c r="K301" s="35">
        <v>350</v>
      </c>
      <c r="L301">
        <v>1359</v>
      </c>
      <c r="M301">
        <v>18.068999999999999</v>
      </c>
      <c r="N301" s="61">
        <f t="shared" si="4"/>
        <v>0.95090866088867165</v>
      </c>
      <c r="P301" t="s">
        <v>301</v>
      </c>
    </row>
    <row r="302" spans="1:16" ht="15" thickBot="1" x14ac:dyDescent="0.35">
      <c r="A302" s="18">
        <v>43009</v>
      </c>
      <c r="B302" s="404">
        <v>43011</v>
      </c>
      <c r="C302" s="17" t="s">
        <v>14</v>
      </c>
      <c r="D302" s="17" t="s">
        <v>206</v>
      </c>
      <c r="E302" s="408" t="s">
        <v>1294</v>
      </c>
      <c r="F302" t="s">
        <v>369</v>
      </c>
      <c r="G302" t="s">
        <v>404</v>
      </c>
      <c r="H302" s="35">
        <v>13.9</v>
      </c>
      <c r="I302" s="35">
        <v>13.2</v>
      </c>
      <c r="J302" s="399">
        <v>23.677</v>
      </c>
      <c r="K302" s="35">
        <v>399</v>
      </c>
      <c r="L302">
        <v>1603</v>
      </c>
      <c r="M302">
        <v>21.57</v>
      </c>
      <c r="N302" s="61">
        <f t="shared" si="4"/>
        <v>0.88162170434451037</v>
      </c>
      <c r="P302" t="s">
        <v>301</v>
      </c>
    </row>
    <row r="303" spans="1:16" ht="15" thickBot="1" x14ac:dyDescent="0.35">
      <c r="A303" s="18">
        <v>43009</v>
      </c>
      <c r="B303" s="404">
        <v>43020</v>
      </c>
      <c r="C303" s="17" t="s">
        <v>14</v>
      </c>
      <c r="D303" s="17" t="s">
        <v>206</v>
      </c>
      <c r="E303" s="408" t="s">
        <v>1295</v>
      </c>
      <c r="F303" t="s">
        <v>367</v>
      </c>
      <c r="G303" t="s">
        <v>405</v>
      </c>
      <c r="H303" s="35">
        <v>14.3</v>
      </c>
      <c r="J303" s="399">
        <v>24.571999999999999</v>
      </c>
      <c r="K303" s="35">
        <v>198</v>
      </c>
      <c r="L303">
        <v>1006</v>
      </c>
      <c r="M303">
        <v>23.279</v>
      </c>
      <c r="N303" s="61">
        <f t="shared" si="4"/>
        <v>0.84029618970202846</v>
      </c>
      <c r="P303" t="s">
        <v>301</v>
      </c>
    </row>
    <row r="304" spans="1:16" s="48" customFormat="1" ht="15" thickBot="1" x14ac:dyDescent="0.35">
      <c r="A304" s="68">
        <v>43009</v>
      </c>
      <c r="B304" s="404">
        <v>43020</v>
      </c>
      <c r="C304" s="67" t="s">
        <v>14</v>
      </c>
      <c r="D304" s="67" t="s">
        <v>206</v>
      </c>
      <c r="E304" s="408" t="s">
        <v>1296</v>
      </c>
      <c r="F304" s="48" t="s">
        <v>367</v>
      </c>
      <c r="G304" s="48" t="s">
        <v>406</v>
      </c>
      <c r="H304" s="190">
        <v>15.5</v>
      </c>
      <c r="I304" s="190">
        <v>14.8</v>
      </c>
      <c r="J304" s="396">
        <v>31.503</v>
      </c>
      <c r="K304" s="190">
        <v>293.8</v>
      </c>
      <c r="L304" s="48">
        <v>1029</v>
      </c>
      <c r="M304" s="48">
        <v>30.181999999999999</v>
      </c>
      <c r="N304" s="61">
        <f t="shared" si="4"/>
        <v>0.84597361619280997</v>
      </c>
      <c r="P304" s="48" t="s">
        <v>301</v>
      </c>
    </row>
  </sheetData>
  <mergeCells count="1">
    <mergeCell ref="O107:O113"/>
  </mergeCells>
  <conditionalFormatting sqref="D2:D94">
    <cfRule type="cellIs" dxfId="5" priority="1" operator="equal">
      <formula>0</formula>
    </cfRule>
    <cfRule type="containsBlanks" dxfId="4" priority="2">
      <formula>LEN(TRIM(D2))=0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N560"/>
  <sheetViews>
    <sheetView zoomScale="80" zoomScaleNormal="80" workbookViewId="0">
      <pane xSplit="12" ySplit="1" topLeftCell="M2" activePane="bottomRight" state="frozen"/>
      <selection pane="topRight" activeCell="C1" sqref="C1"/>
      <selection pane="bottomLeft" activeCell="A2" sqref="A2"/>
      <selection pane="bottomRight" activeCell="H39" sqref="H39"/>
    </sheetView>
  </sheetViews>
  <sheetFormatPr baseColWidth="10" defaultColWidth="11.5546875" defaultRowHeight="14.4" x14ac:dyDescent="0.3"/>
  <cols>
    <col min="1" max="12" width="11.5546875" style="37"/>
    <col min="13" max="13" width="18.5546875" style="32" customWidth="1"/>
    <col min="14" max="14" width="24" style="32" bestFit="1" customWidth="1"/>
    <col min="15" max="15" width="13.5546875" style="32" bestFit="1" customWidth="1"/>
    <col min="16" max="18" width="11.44140625" style="37" customWidth="1"/>
    <col min="19" max="20" width="12" style="37" customWidth="1"/>
    <col min="21" max="22" width="12" style="32" customWidth="1"/>
    <col min="23" max="31" width="12" style="37" customWidth="1"/>
    <col min="32" max="32" width="12" style="37" bestFit="1" customWidth="1"/>
    <col min="33" max="33" width="12" style="37" customWidth="1"/>
    <col min="34" max="34" width="12" style="32" customWidth="1"/>
    <col min="35" max="37" width="12" style="37" customWidth="1"/>
    <col min="38" max="38" width="11.5546875" style="406" customWidth="1"/>
    <col min="39" max="54" width="11.5546875" style="37" customWidth="1"/>
    <col min="55" max="16384" width="11.5546875" style="37"/>
  </cols>
  <sheetData>
    <row r="1" spans="1:66" s="46" customFormat="1" ht="28.8" x14ac:dyDescent="0.3">
      <c r="A1" s="70" t="s">
        <v>187</v>
      </c>
      <c r="B1" s="381" t="s">
        <v>1695</v>
      </c>
      <c r="C1" s="381" t="s">
        <v>188</v>
      </c>
      <c r="D1" s="381" t="s">
        <v>0</v>
      </c>
      <c r="E1" s="70" t="s">
        <v>190</v>
      </c>
      <c r="F1" s="70" t="s">
        <v>1713</v>
      </c>
      <c r="G1" s="70" t="s">
        <v>1721</v>
      </c>
      <c r="H1" s="70" t="s">
        <v>198</v>
      </c>
      <c r="I1" s="70" t="s">
        <v>191</v>
      </c>
      <c r="J1" s="70" t="s">
        <v>1714</v>
      </c>
      <c r="K1" s="93" t="s">
        <v>193</v>
      </c>
      <c r="L1" s="93" t="s">
        <v>194</v>
      </c>
      <c r="M1" s="45" t="s">
        <v>249</v>
      </c>
      <c r="N1" s="45" t="s">
        <v>1722</v>
      </c>
      <c r="O1" s="45" t="s">
        <v>1634</v>
      </c>
      <c r="P1" s="56" t="s">
        <v>1496</v>
      </c>
      <c r="Q1" s="56" t="s">
        <v>1495</v>
      </c>
      <c r="R1" s="56" t="s">
        <v>1497</v>
      </c>
      <c r="S1" s="72" t="s">
        <v>1615</v>
      </c>
      <c r="T1" s="72" t="s">
        <v>1616</v>
      </c>
      <c r="U1" s="72" t="s">
        <v>1617</v>
      </c>
      <c r="V1" s="72" t="s">
        <v>1618</v>
      </c>
      <c r="W1" s="72" t="s">
        <v>1619</v>
      </c>
      <c r="X1" s="72" t="s">
        <v>1620</v>
      </c>
      <c r="Y1" s="72" t="s">
        <v>1621</v>
      </c>
      <c r="Z1" s="72" t="s">
        <v>1622</v>
      </c>
      <c r="AA1" s="72" t="s">
        <v>1623</v>
      </c>
      <c r="AB1" s="72" t="s">
        <v>1624</v>
      </c>
      <c r="AC1" s="72" t="s">
        <v>1625</v>
      </c>
      <c r="AD1" s="72" t="s">
        <v>1626</v>
      </c>
      <c r="AE1" s="72" t="s">
        <v>1627</v>
      </c>
      <c r="AF1" s="72" t="s">
        <v>1628</v>
      </c>
      <c r="AG1" s="72" t="s">
        <v>1629</v>
      </c>
      <c r="AH1" s="72" t="s">
        <v>1630</v>
      </c>
      <c r="AI1" s="72" t="s">
        <v>1631</v>
      </c>
      <c r="AJ1" s="72" t="s">
        <v>1632</v>
      </c>
      <c r="AK1" s="72" t="s">
        <v>1633</v>
      </c>
      <c r="AL1" s="57" t="s">
        <v>1635</v>
      </c>
      <c r="AM1" s="57" t="s">
        <v>1636</v>
      </c>
      <c r="AN1" s="57" t="s">
        <v>1637</v>
      </c>
      <c r="AO1" s="57" t="s">
        <v>1638</v>
      </c>
      <c r="AP1" s="57" t="s">
        <v>1639</v>
      </c>
      <c r="AQ1" s="57" t="s">
        <v>1640</v>
      </c>
      <c r="AR1" s="57" t="s">
        <v>1641</v>
      </c>
      <c r="AS1" s="58" t="s">
        <v>1642</v>
      </c>
      <c r="AT1" s="58" t="s">
        <v>1643</v>
      </c>
      <c r="AU1" s="58" t="s">
        <v>1644</v>
      </c>
      <c r="AV1" s="58" t="s">
        <v>1645</v>
      </c>
      <c r="AW1" s="58" t="s">
        <v>1646</v>
      </c>
      <c r="AX1" s="58" t="s">
        <v>1647</v>
      </c>
      <c r="AY1" s="58" t="s">
        <v>1648</v>
      </c>
      <c r="AZ1" s="58" t="s">
        <v>1649</v>
      </c>
      <c r="BA1" s="58" t="s">
        <v>1650</v>
      </c>
      <c r="BB1" s="58" t="s">
        <v>1651</v>
      </c>
      <c r="BC1" s="58" t="s">
        <v>1717</v>
      </c>
      <c r="BD1" s="58" t="s">
        <v>1718</v>
      </c>
      <c r="BE1" s="58" t="s">
        <v>1652</v>
      </c>
      <c r="BF1" s="58" t="s">
        <v>1653</v>
      </c>
      <c r="BG1" s="58" t="s">
        <v>1673</v>
      </c>
      <c r="BH1" s="58" t="s">
        <v>1674</v>
      </c>
      <c r="BI1" s="58" t="s">
        <v>1675</v>
      </c>
      <c r="BJ1" s="58" t="s">
        <v>1676</v>
      </c>
      <c r="BK1" s="58" t="s">
        <v>1677</v>
      </c>
      <c r="BL1" s="58" t="s">
        <v>1678</v>
      </c>
      <c r="BM1" s="58" t="s">
        <v>1679</v>
      </c>
      <c r="BN1" s="58" t="s">
        <v>1654</v>
      </c>
    </row>
    <row r="2" spans="1:66" x14ac:dyDescent="0.3">
      <c r="A2" s="537">
        <v>2018</v>
      </c>
      <c r="B2" s="538">
        <v>43419</v>
      </c>
      <c r="C2" s="538" t="s">
        <v>1719</v>
      </c>
      <c r="D2" s="538" t="s">
        <v>3</v>
      </c>
      <c r="E2" s="537" t="s">
        <v>246</v>
      </c>
      <c r="F2" s="537" t="s">
        <v>197</v>
      </c>
      <c r="G2" s="537">
        <v>2016</v>
      </c>
      <c r="H2" s="4" t="s">
        <v>214</v>
      </c>
      <c r="I2" s="4" t="s">
        <v>232</v>
      </c>
      <c r="J2" s="44" t="s">
        <v>213</v>
      </c>
      <c r="K2" s="44">
        <v>24.5</v>
      </c>
      <c r="L2" s="44">
        <v>21.5</v>
      </c>
      <c r="M2" s="41">
        <v>142.166</v>
      </c>
      <c r="N2" s="10">
        <v>24.397569695907052</v>
      </c>
      <c r="O2" s="32">
        <v>4</v>
      </c>
      <c r="P2" s="529">
        <v>20.215070422115044</v>
      </c>
      <c r="Q2" s="33">
        <v>2.341300292348937</v>
      </c>
      <c r="R2" s="33">
        <v>13.102371598827064</v>
      </c>
      <c r="S2" s="39">
        <v>0.61539150822015432</v>
      </c>
      <c r="T2" s="39">
        <v>0.24264967904332937</v>
      </c>
      <c r="U2" s="39">
        <v>0.93375287002367158</v>
      </c>
      <c r="V2" s="39">
        <v>2.744208301111549</v>
      </c>
      <c r="W2" s="38">
        <v>3.4672088377246881</v>
      </c>
      <c r="X2" s="39">
        <v>15.308580723891657</v>
      </c>
      <c r="Y2" s="39">
        <v>3.194095038429587</v>
      </c>
      <c r="Z2" s="39">
        <v>9.9568873055349894</v>
      </c>
      <c r="AA2" s="39">
        <v>16.648118033231377</v>
      </c>
      <c r="AB2" s="39">
        <v>5.3849144789838856</v>
      </c>
      <c r="AC2" s="39">
        <v>2.3816143248771784</v>
      </c>
      <c r="AD2" s="39">
        <v>36.853827067081667</v>
      </c>
      <c r="AE2" s="39">
        <v>15.687881636807429</v>
      </c>
      <c r="AF2" s="39">
        <v>70.899466244290863</v>
      </c>
      <c r="AG2" s="39">
        <v>1.6899706482424814</v>
      </c>
      <c r="AH2" s="39">
        <v>8.1514541114825736</v>
      </c>
      <c r="AI2" s="39">
        <v>19.214182135448933</v>
      </c>
      <c r="AJ2" s="39">
        <v>24.272986911136503</v>
      </c>
      <c r="AK2" s="39">
        <v>3.7370371931969859</v>
      </c>
      <c r="AL2" s="530">
        <v>0.8060480507950174</v>
      </c>
      <c r="AM2" s="47">
        <v>0</v>
      </c>
      <c r="AN2" s="47">
        <v>0</v>
      </c>
      <c r="AO2" s="47">
        <v>0</v>
      </c>
      <c r="AP2" s="47">
        <v>0.41079259598052137</v>
      </c>
      <c r="AQ2" s="47">
        <v>0.64115383945824567</v>
      </c>
      <c r="AR2" s="47">
        <v>0.25818144566294904</v>
      </c>
      <c r="AS2" s="47">
        <v>0.36088541526540935</v>
      </c>
      <c r="AT2" s="47">
        <v>0</v>
      </c>
      <c r="AU2" s="47">
        <v>0</v>
      </c>
      <c r="AV2" s="47">
        <v>0.49126003168358201</v>
      </c>
      <c r="AW2" s="47">
        <v>0</v>
      </c>
      <c r="AX2" s="47">
        <v>0</v>
      </c>
      <c r="AY2" s="47">
        <v>0.14077591541338211</v>
      </c>
      <c r="AZ2" s="47">
        <v>0</v>
      </c>
      <c r="BA2" s="47">
        <v>0</v>
      </c>
      <c r="BB2" s="47">
        <v>0</v>
      </c>
      <c r="BC2" s="47">
        <v>5.8270464159728297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</row>
    <row r="3" spans="1:66" x14ac:dyDescent="0.3">
      <c r="A3" s="537">
        <v>2018</v>
      </c>
      <c r="B3" s="538">
        <v>43419</v>
      </c>
      <c r="C3" s="538" t="s">
        <v>1719</v>
      </c>
      <c r="D3" s="538" t="s">
        <v>3</v>
      </c>
      <c r="E3" s="537" t="s">
        <v>246</v>
      </c>
      <c r="F3" s="537" t="s">
        <v>197</v>
      </c>
      <c r="G3" s="537">
        <v>2016</v>
      </c>
      <c r="H3" s="4" t="s">
        <v>214</v>
      </c>
      <c r="I3" s="4" t="s">
        <v>233</v>
      </c>
      <c r="J3" s="44" t="s">
        <v>213</v>
      </c>
      <c r="K3" s="44">
        <v>24.8</v>
      </c>
      <c r="L3" s="44">
        <v>21.8</v>
      </c>
      <c r="M3" s="41">
        <v>151.28200000000001</v>
      </c>
      <c r="N3" s="10">
        <v>22.486311417076958</v>
      </c>
      <c r="O3" s="32">
        <v>4.0999999999999996</v>
      </c>
      <c r="P3" s="529">
        <v>25.738696438967743</v>
      </c>
      <c r="Q3" s="33">
        <v>1.6573499501344813</v>
      </c>
      <c r="R3" s="33">
        <v>11.398398401381842</v>
      </c>
      <c r="S3" s="39">
        <v>0.92186896575468569</v>
      </c>
      <c r="T3" s="38">
        <v>0.14457135751151409</v>
      </c>
      <c r="U3" s="38">
        <v>1.9159608793148175</v>
      </c>
      <c r="V3" s="39">
        <v>4.3580963021352002</v>
      </c>
      <c r="W3" s="39">
        <v>7.2771189542798105</v>
      </c>
      <c r="X3" s="39">
        <v>24.631479326398775</v>
      </c>
      <c r="Y3" s="39">
        <v>4.0503159578409589</v>
      </c>
      <c r="Z3" s="39">
        <v>18.93934895362959</v>
      </c>
      <c r="AA3" s="39">
        <v>26.340911475935098</v>
      </c>
      <c r="AB3" s="39">
        <v>7.8607044568854842</v>
      </c>
      <c r="AC3" s="39">
        <v>6.3784662730093604</v>
      </c>
      <c r="AD3" s="39">
        <v>53.901061790936311</v>
      </c>
      <c r="AE3" s="39">
        <v>27.204616566340043</v>
      </c>
      <c r="AF3" s="39">
        <v>90.563559504259757</v>
      </c>
      <c r="AG3" s="38">
        <v>1.3029179082153817</v>
      </c>
      <c r="AH3" s="39">
        <v>6.6386879316365235</v>
      </c>
      <c r="AI3" s="39">
        <v>11.969192175945841</v>
      </c>
      <c r="AJ3" s="39">
        <v>29.480031159035128</v>
      </c>
      <c r="AK3" s="39">
        <v>2.6890826420101188</v>
      </c>
      <c r="AL3" s="530">
        <v>0.8559338259645638</v>
      </c>
      <c r="AM3" s="47">
        <v>0</v>
      </c>
      <c r="AN3" s="47">
        <v>0</v>
      </c>
      <c r="AO3" s="47">
        <v>0</v>
      </c>
      <c r="AP3" s="47">
        <v>0.79881033697632076</v>
      </c>
      <c r="AQ3" s="47">
        <v>1.1034449972239269</v>
      </c>
      <c r="AR3" s="47">
        <v>0.4295060870368248</v>
      </c>
      <c r="AS3" s="47">
        <v>0.50143339128994868</v>
      </c>
      <c r="AT3" s="47">
        <v>0.3443657890379202</v>
      </c>
      <c r="AU3" s="47">
        <v>0</v>
      </c>
      <c r="AV3" s="47">
        <v>0</v>
      </c>
      <c r="AW3" s="47">
        <v>0</v>
      </c>
      <c r="AX3" s="47">
        <v>0</v>
      </c>
      <c r="AY3" s="47">
        <v>0</v>
      </c>
      <c r="AZ3" s="47">
        <v>0</v>
      </c>
      <c r="BA3" s="47">
        <v>0</v>
      </c>
      <c r="BB3" s="47">
        <v>0</v>
      </c>
      <c r="BC3" s="47">
        <v>7.0404196436398703</v>
      </c>
      <c r="BD3" s="47">
        <v>0</v>
      </c>
      <c r="BE3" s="47">
        <v>0</v>
      </c>
      <c r="BF3" s="47">
        <v>0</v>
      </c>
      <c r="BG3" s="47">
        <v>0</v>
      </c>
      <c r="BH3" s="47">
        <v>0</v>
      </c>
      <c r="BI3" s="47">
        <v>0</v>
      </c>
      <c r="BJ3" s="47">
        <v>0</v>
      </c>
      <c r="BK3" s="47">
        <v>0</v>
      </c>
      <c r="BL3" s="47">
        <v>0</v>
      </c>
      <c r="BM3" s="47">
        <v>0</v>
      </c>
      <c r="BN3" s="47">
        <v>0</v>
      </c>
    </row>
    <row r="4" spans="1:66" x14ac:dyDescent="0.3">
      <c r="A4" s="537">
        <v>2018</v>
      </c>
      <c r="B4" s="538">
        <v>43419</v>
      </c>
      <c r="C4" s="538" t="s">
        <v>1719</v>
      </c>
      <c r="D4" s="538" t="s">
        <v>3</v>
      </c>
      <c r="E4" s="537" t="s">
        <v>246</v>
      </c>
      <c r="F4" s="537" t="s">
        <v>197</v>
      </c>
      <c r="G4" s="537">
        <v>2016</v>
      </c>
      <c r="H4" s="4" t="s">
        <v>214</v>
      </c>
      <c r="I4" s="4" t="s">
        <v>237</v>
      </c>
      <c r="J4" s="44" t="s">
        <v>213</v>
      </c>
      <c r="K4" s="44">
        <v>27.2</v>
      </c>
      <c r="L4" s="44">
        <v>24</v>
      </c>
      <c r="M4" s="41">
        <v>221.67</v>
      </c>
      <c r="N4" s="10">
        <v>30.060606657377921</v>
      </c>
      <c r="O4" s="32">
        <v>12.99</v>
      </c>
      <c r="P4" s="529">
        <v>175.29728213952365</v>
      </c>
      <c r="Q4" s="33">
        <v>4.6577952710620405</v>
      </c>
      <c r="R4" s="33">
        <v>21.937179268502994</v>
      </c>
      <c r="S4" s="39">
        <v>3.0198922379142621</v>
      </c>
      <c r="T4" s="39">
        <v>0.99573240591527001</v>
      </c>
      <c r="U4" s="39">
        <v>7.3352240035210121</v>
      </c>
      <c r="V4" s="39">
        <v>12.21720326737235</v>
      </c>
      <c r="W4" s="39">
        <v>22.033753270194278</v>
      </c>
      <c r="X4" s="39">
        <v>62.713819238068822</v>
      </c>
      <c r="Y4" s="39">
        <v>10.81186810849187</v>
      </c>
      <c r="Z4" s="39">
        <v>52.744048892241146</v>
      </c>
      <c r="AA4" s="39">
        <v>59.513486965587362</v>
      </c>
      <c r="AB4" s="39">
        <v>16.513419888302742</v>
      </c>
      <c r="AC4" s="39">
        <v>14.010130952812112</v>
      </c>
      <c r="AD4" s="38">
        <v>110.30838062596561</v>
      </c>
      <c r="AE4" s="39">
        <v>60.990542794989508</v>
      </c>
      <c r="AF4" s="39">
        <v>184.86046750631033</v>
      </c>
      <c r="AG4" s="39">
        <v>3.6296306518742059</v>
      </c>
      <c r="AH4" s="39">
        <v>11.3834537912873</v>
      </c>
      <c r="AI4" s="39">
        <v>23.126401976720693</v>
      </c>
      <c r="AJ4" s="39">
        <v>58.206993723493461</v>
      </c>
      <c r="AK4" s="39">
        <v>4.3342224961307672</v>
      </c>
      <c r="AL4" s="530">
        <v>0</v>
      </c>
      <c r="AM4" s="47">
        <v>0</v>
      </c>
      <c r="AN4" s="47">
        <v>0</v>
      </c>
      <c r="AO4" s="47">
        <v>0</v>
      </c>
      <c r="AP4" s="47">
        <v>0.69488428745432396</v>
      </c>
      <c r="AQ4" s="47">
        <v>0.79647130472164518</v>
      </c>
      <c r="AR4" s="47">
        <v>0.2609934726256285</v>
      </c>
      <c r="AS4" s="47">
        <v>0.55704425497360943</v>
      </c>
      <c r="AT4" s="47">
        <v>0</v>
      </c>
      <c r="AU4" s="47">
        <v>0.35206049533089728</v>
      </c>
      <c r="AV4" s="47">
        <v>0</v>
      </c>
      <c r="AW4" s="47">
        <v>0</v>
      </c>
      <c r="AX4" s="47">
        <v>0</v>
      </c>
      <c r="AY4" s="47">
        <v>0.1570239545269996</v>
      </c>
      <c r="AZ4" s="47">
        <v>0</v>
      </c>
      <c r="BA4" s="47">
        <v>0</v>
      </c>
      <c r="BB4" s="47">
        <v>0</v>
      </c>
      <c r="BC4" s="47">
        <v>7.6971215160851179</v>
      </c>
      <c r="BD4" s="47">
        <v>0</v>
      </c>
      <c r="BE4" s="47">
        <v>0</v>
      </c>
      <c r="BF4" s="47">
        <v>0</v>
      </c>
      <c r="BG4" s="47">
        <v>0</v>
      </c>
      <c r="BH4" s="47">
        <v>0</v>
      </c>
      <c r="BI4" s="47">
        <v>0</v>
      </c>
      <c r="BJ4" s="47">
        <v>0</v>
      </c>
      <c r="BK4" s="47">
        <v>0</v>
      </c>
      <c r="BL4" s="47">
        <v>0</v>
      </c>
      <c r="BM4" s="47">
        <v>0</v>
      </c>
      <c r="BN4" s="47">
        <v>0</v>
      </c>
    </row>
    <row r="5" spans="1:66" x14ac:dyDescent="0.3">
      <c r="A5" s="537">
        <v>2018</v>
      </c>
      <c r="B5" s="538">
        <v>43419</v>
      </c>
      <c r="C5" s="538" t="s">
        <v>1719</v>
      </c>
      <c r="D5" s="538" t="s">
        <v>3</v>
      </c>
      <c r="E5" s="537" t="s">
        <v>246</v>
      </c>
      <c r="F5" s="537" t="s">
        <v>197</v>
      </c>
      <c r="G5" s="537">
        <v>2016</v>
      </c>
      <c r="H5" s="4" t="s">
        <v>214</v>
      </c>
      <c r="I5" s="4" t="s">
        <v>234</v>
      </c>
      <c r="J5" s="44" t="s">
        <v>213</v>
      </c>
      <c r="K5" s="44">
        <v>25</v>
      </c>
      <c r="L5" s="44">
        <v>22.5</v>
      </c>
      <c r="M5" s="41">
        <v>180.15</v>
      </c>
      <c r="N5" s="10">
        <v>29.410822356710586</v>
      </c>
      <c r="O5" s="32">
        <v>32.200000000000003</v>
      </c>
      <c r="P5" s="529">
        <v>657.93077607363364</v>
      </c>
      <c r="Q5" s="33">
        <v>1.717729085850223</v>
      </c>
      <c r="R5" s="33">
        <v>11.813654964404806</v>
      </c>
      <c r="S5" s="39">
        <v>7.3703165850529979</v>
      </c>
      <c r="T5" s="38">
        <v>1.1358720638738073</v>
      </c>
      <c r="U5" s="38">
        <v>22.618608969493664</v>
      </c>
      <c r="V5" s="39">
        <v>38.451078026506352</v>
      </c>
      <c r="W5" s="39">
        <v>64.842654678946303</v>
      </c>
      <c r="X5" s="39">
        <v>199.86916891546599</v>
      </c>
      <c r="Y5" s="39">
        <v>29.468892707322446</v>
      </c>
      <c r="Z5" s="39">
        <v>169.6942332400354</v>
      </c>
      <c r="AA5" s="39">
        <v>160.65569969376145</v>
      </c>
      <c r="AB5" s="39">
        <v>44.381358009920717</v>
      </c>
      <c r="AC5" s="39">
        <v>60.346387648666195</v>
      </c>
      <c r="AD5" s="39">
        <v>284.21550757117427</v>
      </c>
      <c r="AE5" s="39">
        <v>220.0783112219838</v>
      </c>
      <c r="AF5" s="39">
        <v>512.91607169162774</v>
      </c>
      <c r="AG5" s="38">
        <v>13.898997110364627</v>
      </c>
      <c r="AH5" s="39">
        <v>42.846402545500581</v>
      </c>
      <c r="AI5" s="39">
        <v>94.636673278307853</v>
      </c>
      <c r="AJ5" s="39">
        <v>128.74612436687551</v>
      </c>
      <c r="AK5" s="39">
        <v>10.354695200548356</v>
      </c>
      <c r="AL5" s="530">
        <v>0</v>
      </c>
      <c r="AM5" s="47">
        <v>0</v>
      </c>
      <c r="AN5" s="47">
        <v>0</v>
      </c>
      <c r="AO5" s="47">
        <v>0</v>
      </c>
      <c r="AP5" s="47">
        <v>0.18953760920519924</v>
      </c>
      <c r="AQ5" s="47">
        <v>0</v>
      </c>
      <c r="AR5" s="47">
        <v>0</v>
      </c>
      <c r="AS5" s="47">
        <v>0.16492648625612616</v>
      </c>
      <c r="AT5" s="47">
        <v>0</v>
      </c>
      <c r="AU5" s="47">
        <v>0.34135947155337742</v>
      </c>
      <c r="AV5" s="47">
        <v>0</v>
      </c>
      <c r="AW5" s="47">
        <v>0</v>
      </c>
      <c r="AX5" s="47">
        <v>0</v>
      </c>
      <c r="AY5" s="47">
        <v>0</v>
      </c>
      <c r="AZ5" s="47">
        <v>0</v>
      </c>
      <c r="BA5" s="47">
        <v>0</v>
      </c>
      <c r="BB5" s="47">
        <v>0</v>
      </c>
      <c r="BC5" s="47">
        <v>1.6553608360028436</v>
      </c>
      <c r="BD5" s="47">
        <v>0</v>
      </c>
      <c r="BE5" s="47">
        <v>0</v>
      </c>
      <c r="BF5" s="47">
        <v>0</v>
      </c>
      <c r="BG5" s="47">
        <v>0</v>
      </c>
      <c r="BH5" s="47">
        <v>0</v>
      </c>
      <c r="BI5" s="47">
        <v>0</v>
      </c>
      <c r="BJ5" s="47">
        <v>0</v>
      </c>
      <c r="BK5" s="47">
        <v>0</v>
      </c>
      <c r="BL5" s="47">
        <v>0</v>
      </c>
      <c r="BM5" s="47">
        <v>0</v>
      </c>
      <c r="BN5" s="47">
        <v>0</v>
      </c>
    </row>
    <row r="6" spans="1:66" x14ac:dyDescent="0.3">
      <c r="A6" s="537">
        <v>2018</v>
      </c>
      <c r="B6" s="538">
        <v>43419</v>
      </c>
      <c r="C6" s="538" t="s">
        <v>1719</v>
      </c>
      <c r="D6" s="538" t="s">
        <v>3</v>
      </c>
      <c r="E6" s="537" t="s">
        <v>246</v>
      </c>
      <c r="F6" s="537" t="s">
        <v>197</v>
      </c>
      <c r="G6" s="537">
        <v>2016</v>
      </c>
      <c r="H6" s="4" t="s">
        <v>214</v>
      </c>
      <c r="I6" s="4" t="s">
        <v>235</v>
      </c>
      <c r="J6" s="44" t="s">
        <v>213</v>
      </c>
      <c r="K6" s="44">
        <v>25.5</v>
      </c>
      <c r="L6" s="44">
        <v>22.7</v>
      </c>
      <c r="M6" s="41">
        <v>151.542</v>
      </c>
      <c r="N6" s="10">
        <v>22.543127955263508</v>
      </c>
      <c r="O6" s="32">
        <v>2</v>
      </c>
      <c r="P6" s="33">
        <v>12.092343014903657</v>
      </c>
      <c r="Q6" s="33">
        <v>4.1794903879075882</v>
      </c>
      <c r="R6" s="33">
        <v>19.684469701822717</v>
      </c>
      <c r="S6" s="39">
        <v>0.20898368039894016</v>
      </c>
      <c r="T6" s="38">
        <v>0.17952714389700689</v>
      </c>
      <c r="U6" s="38">
        <v>0.29339369481827449</v>
      </c>
      <c r="V6" s="39">
        <v>1.1012444427008148</v>
      </c>
      <c r="W6" s="39">
        <v>1.4777792576857536</v>
      </c>
      <c r="X6" s="39">
        <v>5.583204799620531</v>
      </c>
      <c r="Y6" s="39">
        <v>1.3861188058922456</v>
      </c>
      <c r="Z6" s="39">
        <v>3.8764742185245549</v>
      </c>
      <c r="AA6" s="39">
        <v>7.7132234578654639</v>
      </c>
      <c r="AB6" s="39">
        <v>2.6119693903471894</v>
      </c>
      <c r="AC6" s="39">
        <v>1.5545751233560103</v>
      </c>
      <c r="AD6" s="39">
        <v>17.593808060495277</v>
      </c>
      <c r="AE6" s="39">
        <v>6.9734915017100372</v>
      </c>
      <c r="AF6" s="39">
        <v>30.444749419954881</v>
      </c>
      <c r="AG6" s="38">
        <v>0.50711401886104057</v>
      </c>
      <c r="AH6" s="39">
        <v>3.2865483385572687</v>
      </c>
      <c r="AI6" s="39">
        <v>7.010444630893657</v>
      </c>
      <c r="AJ6" s="39">
        <v>11.72571189055488</v>
      </c>
      <c r="AK6" s="39">
        <v>1.4778367634544862</v>
      </c>
      <c r="AL6" s="530">
        <v>0</v>
      </c>
      <c r="AM6" s="47">
        <v>0</v>
      </c>
      <c r="AN6" s="47">
        <v>0</v>
      </c>
      <c r="AO6" s="47">
        <v>0</v>
      </c>
      <c r="AP6" s="47">
        <v>0.47872517293590239</v>
      </c>
      <c r="AQ6" s="47">
        <v>0.77825207688989562</v>
      </c>
      <c r="AR6" s="47">
        <v>0.37948816910607719</v>
      </c>
      <c r="AS6" s="47">
        <v>0.35578778612356382</v>
      </c>
      <c r="AT6" s="47">
        <v>0.1064186681708874</v>
      </c>
      <c r="AU6" s="47">
        <v>0.40915595404209837</v>
      </c>
      <c r="AV6" s="47">
        <v>0</v>
      </c>
      <c r="AW6" s="47">
        <v>0</v>
      </c>
      <c r="AX6" s="47">
        <v>0</v>
      </c>
      <c r="AY6" s="47">
        <v>0</v>
      </c>
      <c r="AZ6" s="47">
        <v>0</v>
      </c>
      <c r="BA6" s="47">
        <v>0</v>
      </c>
      <c r="BB6" s="47">
        <v>0</v>
      </c>
      <c r="BC6" s="47">
        <v>4.262614934047722</v>
      </c>
      <c r="BD6" s="47">
        <v>0</v>
      </c>
      <c r="BE6" s="47">
        <v>0</v>
      </c>
      <c r="BF6" s="47">
        <v>0</v>
      </c>
      <c r="BG6" s="47">
        <v>0</v>
      </c>
      <c r="BH6" s="47">
        <v>0</v>
      </c>
      <c r="BI6" s="47">
        <v>0</v>
      </c>
      <c r="BJ6" s="47">
        <v>0</v>
      </c>
      <c r="BK6" s="47">
        <v>0</v>
      </c>
      <c r="BL6" s="47">
        <v>0</v>
      </c>
      <c r="BM6" s="47">
        <v>0</v>
      </c>
      <c r="BN6" s="47">
        <v>0</v>
      </c>
    </row>
    <row r="7" spans="1:66" x14ac:dyDescent="0.3">
      <c r="A7" s="537">
        <v>2018</v>
      </c>
      <c r="B7" s="538">
        <v>43419</v>
      </c>
      <c r="C7" s="538" t="s">
        <v>1719</v>
      </c>
      <c r="D7" s="538" t="s">
        <v>3</v>
      </c>
      <c r="E7" s="537" t="s">
        <v>246</v>
      </c>
      <c r="F7" s="537" t="s">
        <v>197</v>
      </c>
      <c r="G7" s="537">
        <v>2016</v>
      </c>
      <c r="H7" s="4" t="s">
        <v>214</v>
      </c>
      <c r="I7" s="4" t="s">
        <v>242</v>
      </c>
      <c r="J7" s="44" t="s">
        <v>213</v>
      </c>
      <c r="K7" s="44">
        <v>28.5</v>
      </c>
      <c r="L7" s="44">
        <v>24.5</v>
      </c>
      <c r="M7" s="41">
        <v>232.28299999999999</v>
      </c>
      <c r="N7" s="10">
        <v>28.385074041933773</v>
      </c>
      <c r="O7" s="32">
        <v>14.65</v>
      </c>
      <c r="P7" s="529">
        <v>134.35770779947632</v>
      </c>
      <c r="Q7" s="33">
        <v>4.3827459788063257</v>
      </c>
      <c r="R7" s="33">
        <v>20.641758306277509</v>
      </c>
      <c r="S7" s="39">
        <v>2.1612290197738582</v>
      </c>
      <c r="T7" s="39">
        <v>0.62818512746478306</v>
      </c>
      <c r="U7" s="39">
        <v>4.9001049191839563</v>
      </c>
      <c r="V7" s="39">
        <v>11.712603538021684</v>
      </c>
      <c r="W7" s="39">
        <v>16.780063402080497</v>
      </c>
      <c r="X7" s="39">
        <v>62.773134977306484</v>
      </c>
      <c r="Y7" s="39">
        <v>10.092539163872186</v>
      </c>
      <c r="Z7" s="39">
        <v>45.54383614583665</v>
      </c>
      <c r="AA7" s="39">
        <v>56.633368327501081</v>
      </c>
      <c r="AB7" s="39">
        <v>15.457953196485255</v>
      </c>
      <c r="AC7" s="39">
        <v>10.075465021423755</v>
      </c>
      <c r="AD7" s="38">
        <v>108.01199392366087</v>
      </c>
      <c r="AE7" s="39">
        <v>66.635829735435323</v>
      </c>
      <c r="AF7" s="39">
        <v>192.6130259189267</v>
      </c>
      <c r="AG7" s="39">
        <v>4.1952252198184414</v>
      </c>
      <c r="AH7" s="39">
        <v>11.207083850458996</v>
      </c>
      <c r="AI7" s="39">
        <v>30.127988287643255</v>
      </c>
      <c r="AJ7" s="39">
        <v>61.137315050802528</v>
      </c>
      <c r="AK7" s="39">
        <v>3.6851153256825926</v>
      </c>
      <c r="AL7" s="530">
        <v>4.0471907792975328</v>
      </c>
      <c r="AM7" s="47">
        <v>0</v>
      </c>
      <c r="AN7" s="47">
        <v>0</v>
      </c>
      <c r="AO7" s="47">
        <v>0</v>
      </c>
      <c r="AP7" s="47">
        <v>0.29403713956888239</v>
      </c>
      <c r="AQ7" s="47">
        <v>1.1270168498517015</v>
      </c>
      <c r="AR7" s="47">
        <v>0.5896450900494572</v>
      </c>
      <c r="AS7" s="47">
        <v>0.62169896419795323</v>
      </c>
      <c r="AT7" s="47">
        <v>0</v>
      </c>
      <c r="AU7" s="47">
        <v>0.53441786680767678</v>
      </c>
      <c r="AV7" s="47">
        <v>0</v>
      </c>
      <c r="AW7" s="47">
        <v>0</v>
      </c>
      <c r="AX7" s="47">
        <v>0</v>
      </c>
      <c r="AY7" s="47">
        <v>0</v>
      </c>
      <c r="AZ7" s="47">
        <v>0</v>
      </c>
      <c r="BA7" s="47">
        <v>0</v>
      </c>
      <c r="BB7" s="47">
        <v>0</v>
      </c>
      <c r="BC7" s="47">
        <v>7.7781037924516907</v>
      </c>
      <c r="BD7" s="47">
        <v>0</v>
      </c>
      <c r="BE7" s="47">
        <v>0</v>
      </c>
      <c r="BF7" s="47">
        <v>0</v>
      </c>
      <c r="BG7" s="47">
        <v>0</v>
      </c>
      <c r="BH7" s="47">
        <v>0</v>
      </c>
      <c r="BI7" s="47">
        <v>0</v>
      </c>
      <c r="BJ7" s="47">
        <v>0</v>
      </c>
      <c r="BK7" s="47">
        <v>0</v>
      </c>
      <c r="BL7" s="47">
        <v>0.73371470707166819</v>
      </c>
      <c r="BM7" s="47">
        <v>0</v>
      </c>
      <c r="BN7" s="47">
        <v>0</v>
      </c>
    </row>
    <row r="8" spans="1:66" x14ac:dyDescent="0.3">
      <c r="A8" s="537">
        <v>2018</v>
      </c>
      <c r="B8" s="538">
        <v>43419</v>
      </c>
      <c r="C8" s="538" t="s">
        <v>1719</v>
      </c>
      <c r="D8" s="538" t="s">
        <v>3</v>
      </c>
      <c r="E8" s="537" t="s">
        <v>246</v>
      </c>
      <c r="F8" s="537" t="s">
        <v>197</v>
      </c>
      <c r="G8" s="537">
        <v>2016</v>
      </c>
      <c r="H8" s="4" t="s">
        <v>214</v>
      </c>
      <c r="I8" s="4" t="s">
        <v>241</v>
      </c>
      <c r="J8" s="44" t="s">
        <v>213</v>
      </c>
      <c r="K8" s="44">
        <v>28</v>
      </c>
      <c r="L8" s="44">
        <v>24.8</v>
      </c>
      <c r="M8" s="41">
        <v>230.53700000000001</v>
      </c>
      <c r="N8" s="10">
        <v>26.827040938414132</v>
      </c>
      <c r="O8" s="32">
        <v>13.03</v>
      </c>
      <c r="P8" s="529">
        <v>79.436250422338262</v>
      </c>
      <c r="Q8" s="33">
        <v>4.3719417080630771</v>
      </c>
      <c r="R8" s="33">
        <v>20.590872595256116</v>
      </c>
      <c r="S8" s="39">
        <v>1.4601111302068135</v>
      </c>
      <c r="T8" s="39">
        <v>0.47306078691053832</v>
      </c>
      <c r="U8" s="39">
        <v>1.9576934093384619</v>
      </c>
      <c r="V8" s="39">
        <v>3.5951284689539906</v>
      </c>
      <c r="W8" s="39">
        <v>6.5332248488200761</v>
      </c>
      <c r="X8" s="39">
        <v>17.181056089169903</v>
      </c>
      <c r="Y8" s="39">
        <v>5.0455736081370732</v>
      </c>
      <c r="Z8" s="39">
        <v>15.289642733529273</v>
      </c>
      <c r="AA8" s="39">
        <v>22.098711615641999</v>
      </c>
      <c r="AB8" s="39">
        <v>5.3145441476879434</v>
      </c>
      <c r="AC8" s="39">
        <v>3.7769388931451267</v>
      </c>
      <c r="AD8" s="38">
        <v>34.850286522605749</v>
      </c>
      <c r="AE8" s="39">
        <v>21.904673198250414</v>
      </c>
      <c r="AF8" s="39">
        <v>63.821093313172732</v>
      </c>
      <c r="AG8" s="39">
        <v>2.0652386534499505</v>
      </c>
      <c r="AH8" s="39">
        <v>5.7549149837423155</v>
      </c>
      <c r="AI8" s="39">
        <v>11.525585901067586</v>
      </c>
      <c r="AJ8" s="39">
        <v>19.761841778345104</v>
      </c>
      <c r="AK8" s="39">
        <v>2.476903552667642</v>
      </c>
      <c r="AL8" s="530">
        <v>2.0444350996007152</v>
      </c>
      <c r="AM8" s="47">
        <v>0</v>
      </c>
      <c r="AN8" s="47">
        <v>0</v>
      </c>
      <c r="AO8" s="47">
        <v>0</v>
      </c>
      <c r="AP8" s="47">
        <v>0.78795195340936663</v>
      </c>
      <c r="AQ8" s="47">
        <v>0</v>
      </c>
      <c r="AR8" s="47">
        <v>0</v>
      </c>
      <c r="AS8" s="47">
        <v>0.25856588206745934</v>
      </c>
      <c r="AT8" s="47">
        <v>0</v>
      </c>
      <c r="AU8" s="47">
        <v>0.22456017956806604</v>
      </c>
      <c r="AV8" s="47">
        <v>0.28161336483149435</v>
      </c>
      <c r="AW8" s="47">
        <v>0</v>
      </c>
      <c r="AX8" s="47">
        <v>0</v>
      </c>
      <c r="AY8" s="47">
        <v>0</v>
      </c>
      <c r="AZ8" s="47">
        <v>0</v>
      </c>
      <c r="BA8" s="47">
        <v>0</v>
      </c>
      <c r="BB8" s="47">
        <v>0</v>
      </c>
      <c r="BC8" s="47">
        <v>3.2243011048146513</v>
      </c>
      <c r="BD8" s="47">
        <v>0</v>
      </c>
      <c r="BE8" s="47">
        <v>0</v>
      </c>
      <c r="BF8" s="47">
        <v>0</v>
      </c>
      <c r="BG8" s="47">
        <v>0</v>
      </c>
      <c r="BH8" s="47">
        <v>0</v>
      </c>
      <c r="BI8" s="47">
        <v>0</v>
      </c>
      <c r="BJ8" s="47">
        <v>0</v>
      </c>
      <c r="BK8" s="47">
        <v>0</v>
      </c>
      <c r="BL8" s="47">
        <v>0</v>
      </c>
      <c r="BM8" s="47">
        <v>0</v>
      </c>
      <c r="BN8" s="47">
        <v>0</v>
      </c>
    </row>
    <row r="9" spans="1:66" x14ac:dyDescent="0.3">
      <c r="A9" s="537">
        <v>2018</v>
      </c>
      <c r="B9" s="538">
        <v>43419</v>
      </c>
      <c r="C9" s="538" t="s">
        <v>1719</v>
      </c>
      <c r="D9" s="538" t="s">
        <v>3</v>
      </c>
      <c r="E9" s="537" t="s">
        <v>246</v>
      </c>
      <c r="F9" s="537" t="s">
        <v>197</v>
      </c>
      <c r="G9" s="537">
        <v>2016</v>
      </c>
      <c r="H9" s="4" t="s">
        <v>214</v>
      </c>
      <c r="I9" s="4" t="s">
        <v>238</v>
      </c>
      <c r="J9" s="44" t="s">
        <v>213</v>
      </c>
      <c r="K9" s="44">
        <v>27.5</v>
      </c>
      <c r="L9" s="44">
        <v>24.5</v>
      </c>
      <c r="M9" s="41">
        <v>249.089</v>
      </c>
      <c r="N9" s="10">
        <v>34.651547591646001</v>
      </c>
      <c r="O9" s="32">
        <v>25.23</v>
      </c>
      <c r="P9" s="529">
        <v>576.0195983852509</v>
      </c>
      <c r="Q9" s="33">
        <v>1.8438337506285698</v>
      </c>
      <c r="R9" s="33">
        <v>12.680937827206153</v>
      </c>
      <c r="S9" s="39">
        <v>8.6203862839188172</v>
      </c>
      <c r="T9" s="39">
        <v>1.8853800302058896</v>
      </c>
      <c r="U9" s="39">
        <v>24.296437010961682</v>
      </c>
      <c r="V9" s="39">
        <v>40.815632456844469</v>
      </c>
      <c r="W9" s="39">
        <v>71.582011095721626</v>
      </c>
      <c r="X9" s="39">
        <v>224.43237856828227</v>
      </c>
      <c r="Y9" s="39">
        <v>32.993347905978865</v>
      </c>
      <c r="Z9" s="39">
        <v>186.67467030160336</v>
      </c>
      <c r="AA9" s="39">
        <v>169.68578708985277</v>
      </c>
      <c r="AB9" s="39">
        <v>50.475182702758417</v>
      </c>
      <c r="AC9" s="39">
        <v>50.600561093371375</v>
      </c>
      <c r="AD9" s="38">
        <v>287.6162035799249</v>
      </c>
      <c r="AE9" s="39">
        <v>210.59189178444947</v>
      </c>
      <c r="AF9" s="39">
        <v>504.74261627799626</v>
      </c>
      <c r="AG9" s="39">
        <v>15.223970997743777</v>
      </c>
      <c r="AH9" s="39">
        <v>43.149682367012467</v>
      </c>
      <c r="AI9" s="39">
        <v>96.524888157240369</v>
      </c>
      <c r="AJ9" s="39">
        <v>127.273240331179</v>
      </c>
      <c r="AK9" s="39">
        <v>9.6403013193578673</v>
      </c>
      <c r="AL9" s="530">
        <v>0</v>
      </c>
      <c r="AM9" s="47">
        <v>0</v>
      </c>
      <c r="AN9" s="47">
        <v>0</v>
      </c>
      <c r="AO9" s="47">
        <v>0</v>
      </c>
      <c r="AP9" s="47">
        <v>0</v>
      </c>
      <c r="AQ9" s="47">
        <v>0</v>
      </c>
      <c r="AR9" s="47">
        <v>0.21012066365007542</v>
      </c>
      <c r="AS9" s="47">
        <v>0.2757466063348416</v>
      </c>
      <c r="AT9" s="47">
        <v>0</v>
      </c>
      <c r="AU9" s="47">
        <v>0.38690799396681747</v>
      </c>
      <c r="AV9" s="47">
        <v>0</v>
      </c>
      <c r="AW9" s="47">
        <v>0</v>
      </c>
      <c r="AX9" s="47">
        <v>0</v>
      </c>
      <c r="AY9" s="47">
        <v>0</v>
      </c>
      <c r="AZ9" s="47">
        <v>0</v>
      </c>
      <c r="BA9" s="47">
        <v>0</v>
      </c>
      <c r="BB9" s="47">
        <v>0</v>
      </c>
      <c r="BC9" s="47">
        <v>2.9032053943749445</v>
      </c>
      <c r="BD9" s="47">
        <v>0</v>
      </c>
      <c r="BE9" s="47">
        <v>0</v>
      </c>
      <c r="BF9" s="47">
        <v>0</v>
      </c>
      <c r="BG9" s="47">
        <v>0</v>
      </c>
      <c r="BH9" s="47">
        <v>0</v>
      </c>
      <c r="BI9" s="47">
        <v>0</v>
      </c>
      <c r="BJ9" s="47">
        <v>0</v>
      </c>
      <c r="BK9" s="47">
        <v>0</v>
      </c>
      <c r="BL9" s="47">
        <v>0</v>
      </c>
      <c r="BM9" s="47">
        <v>0</v>
      </c>
      <c r="BN9" s="47">
        <v>0</v>
      </c>
    </row>
    <row r="10" spans="1:66" x14ac:dyDescent="0.3">
      <c r="A10" s="537">
        <v>2018</v>
      </c>
      <c r="B10" s="538">
        <v>43419</v>
      </c>
      <c r="C10" s="538" t="s">
        <v>1719</v>
      </c>
      <c r="D10" s="538" t="s">
        <v>3</v>
      </c>
      <c r="E10" s="537" t="s">
        <v>246</v>
      </c>
      <c r="F10" s="537" t="s">
        <v>197</v>
      </c>
      <c r="G10" s="537">
        <v>2016</v>
      </c>
      <c r="H10" s="4" t="s">
        <v>214</v>
      </c>
      <c r="I10" s="4" t="s">
        <v>236</v>
      </c>
      <c r="J10" s="44" t="s">
        <v>213</v>
      </c>
      <c r="K10" s="44">
        <v>26</v>
      </c>
      <c r="L10" s="44">
        <v>22.5</v>
      </c>
      <c r="M10" s="41">
        <v>193.09399999999999</v>
      </c>
      <c r="N10" s="10">
        <v>24.448492321488629</v>
      </c>
      <c r="O10" s="32">
        <v>9</v>
      </c>
      <c r="P10" s="529">
        <v>41.288025371211901</v>
      </c>
      <c r="Q10" s="33">
        <v>4.2678232027780272</v>
      </c>
      <c r="R10" s="33">
        <v>20.100497603938404</v>
      </c>
      <c r="S10" s="39">
        <v>1.747903654507333</v>
      </c>
      <c r="T10" s="38">
        <v>0.26204011215436868</v>
      </c>
      <c r="U10" s="38">
        <v>2.0342064922191962</v>
      </c>
      <c r="V10" s="39">
        <v>3.939556730630736</v>
      </c>
      <c r="W10" s="39">
        <v>7.7492878558070801</v>
      </c>
      <c r="X10" s="39">
        <v>24.399224640411003</v>
      </c>
      <c r="Y10" s="39">
        <v>6.0845043689363472</v>
      </c>
      <c r="Z10" s="39">
        <v>23.961231072931113</v>
      </c>
      <c r="AA10" s="39">
        <v>35.129244553694633</v>
      </c>
      <c r="AB10" s="39">
        <v>10.247476944392901</v>
      </c>
      <c r="AC10" s="39">
        <v>8.1143996449239069</v>
      </c>
      <c r="AD10" s="39">
        <v>69.34771090248492</v>
      </c>
      <c r="AE10" s="39">
        <v>34.855372044260669</v>
      </c>
      <c r="AF10" s="39">
        <v>113.87722602843931</v>
      </c>
      <c r="AG10" s="38">
        <v>2.0033670375456873</v>
      </c>
      <c r="AH10" s="39">
        <v>7.9077617241409168</v>
      </c>
      <c r="AI10" s="39">
        <v>13.590664694948883</v>
      </c>
      <c r="AJ10" s="39">
        <v>39.550824241758576</v>
      </c>
      <c r="AK10" s="39">
        <v>2.8109302327942562</v>
      </c>
      <c r="AL10" s="530">
        <v>1.572509364362725</v>
      </c>
      <c r="AM10" s="47">
        <v>0</v>
      </c>
      <c r="AN10" s="47">
        <v>0</v>
      </c>
      <c r="AO10" s="47">
        <v>0</v>
      </c>
      <c r="AP10" s="47">
        <v>0.99866833777220743</v>
      </c>
      <c r="AQ10" s="47">
        <v>0.81367584853148534</v>
      </c>
      <c r="AR10" s="47">
        <v>0.34624784584051382</v>
      </c>
      <c r="AS10" s="47">
        <v>0.44917750274165752</v>
      </c>
      <c r="AT10" s="47">
        <v>0</v>
      </c>
      <c r="AU10" s="47">
        <v>0</v>
      </c>
      <c r="AV10" s="47">
        <v>0.35990378855599892</v>
      </c>
      <c r="AW10" s="47">
        <v>0</v>
      </c>
      <c r="AX10" s="47">
        <v>0</v>
      </c>
      <c r="AY10" s="47">
        <v>0</v>
      </c>
      <c r="AZ10" s="47">
        <v>0</v>
      </c>
      <c r="BA10" s="47">
        <v>0</v>
      </c>
      <c r="BB10" s="47">
        <v>0</v>
      </c>
      <c r="BC10" s="47">
        <v>5.8642098957709354</v>
      </c>
      <c r="BD10" s="47">
        <v>0</v>
      </c>
      <c r="BE10" s="47">
        <v>0</v>
      </c>
      <c r="BF10" s="47">
        <v>0</v>
      </c>
      <c r="BG10" s="47">
        <v>0</v>
      </c>
      <c r="BH10" s="47">
        <v>0</v>
      </c>
      <c r="BI10" s="47">
        <v>0</v>
      </c>
      <c r="BJ10" s="47">
        <v>0</v>
      </c>
      <c r="BK10" s="47">
        <v>0</v>
      </c>
      <c r="BL10" s="47">
        <v>0</v>
      </c>
      <c r="BM10" s="47">
        <v>0</v>
      </c>
      <c r="BN10" s="47">
        <v>0</v>
      </c>
    </row>
    <row r="11" spans="1:66" x14ac:dyDescent="0.3">
      <c r="A11" s="537">
        <v>2018</v>
      </c>
      <c r="B11" s="538">
        <v>43419</v>
      </c>
      <c r="C11" s="538" t="s">
        <v>1719</v>
      </c>
      <c r="D11" s="538" t="s">
        <v>3</v>
      </c>
      <c r="E11" s="537" t="s">
        <v>246</v>
      </c>
      <c r="F11" s="537" t="s">
        <v>197</v>
      </c>
      <c r="G11" s="537">
        <v>2016</v>
      </c>
      <c r="H11" s="4" t="s">
        <v>214</v>
      </c>
      <c r="I11" s="4" t="s">
        <v>239</v>
      </c>
      <c r="J11" s="44" t="s">
        <v>213</v>
      </c>
      <c r="K11" s="44">
        <v>27.5</v>
      </c>
      <c r="L11" s="44">
        <v>24</v>
      </c>
      <c r="M11" s="41">
        <v>207.34899999999999</v>
      </c>
      <c r="N11" s="10">
        <v>30.179125430667263</v>
      </c>
      <c r="O11" s="38">
        <v>2.7790922953972372</v>
      </c>
      <c r="P11" s="529">
        <v>141.30673501658222</v>
      </c>
      <c r="Q11" s="33">
        <v>4.9212316717736702</v>
      </c>
      <c r="R11" s="33">
        <v>23.177906095670409</v>
      </c>
      <c r="S11" s="39">
        <v>2.21</v>
      </c>
      <c r="T11" s="39">
        <v>0.85782073406325998</v>
      </c>
      <c r="U11" s="39">
        <v>4.1237673358117704</v>
      </c>
      <c r="V11" s="39">
        <v>8.0694083519588506</v>
      </c>
      <c r="W11" s="38">
        <v>14.260170634986988</v>
      </c>
      <c r="X11" s="39">
        <v>44.580747374684194</v>
      </c>
      <c r="Y11" s="39">
        <v>8.214601945787356</v>
      </c>
      <c r="Z11" s="39">
        <v>34.86036420216017</v>
      </c>
      <c r="AA11" s="39">
        <v>50.053464650695766</v>
      </c>
      <c r="AB11" s="39">
        <v>12.943627316461775</v>
      </c>
      <c r="AC11" s="39">
        <v>9.6084030114847394</v>
      </c>
      <c r="AD11" s="39">
        <v>88.84032913589958</v>
      </c>
      <c r="AE11" s="39">
        <v>47.881000968561651</v>
      </c>
      <c r="AF11" s="39">
        <v>158.55102385691362</v>
      </c>
      <c r="AG11" s="39">
        <v>3.1918619508088697</v>
      </c>
      <c r="AH11" s="39">
        <v>10.477243118956363</v>
      </c>
      <c r="AI11" s="39">
        <v>18.675075130176552</v>
      </c>
      <c r="AJ11" s="39">
        <v>52.694170919803383</v>
      </c>
      <c r="AK11" s="39">
        <v>3.7809826090320255</v>
      </c>
      <c r="AL11" s="530">
        <v>0</v>
      </c>
      <c r="AM11" s="47">
        <v>0</v>
      </c>
      <c r="AN11" s="47">
        <v>0</v>
      </c>
      <c r="AO11" s="47">
        <v>0</v>
      </c>
      <c r="AP11" s="47">
        <v>1.0832907451464149</v>
      </c>
      <c r="AQ11" s="47">
        <v>0.91658485933804301</v>
      </c>
      <c r="AR11" s="47">
        <v>0.38667430316914841</v>
      </c>
      <c r="AS11" s="47">
        <v>0.49692483919288039</v>
      </c>
      <c r="AT11" s="47">
        <v>0</v>
      </c>
      <c r="AU11" s="47">
        <v>0</v>
      </c>
      <c r="AV11" s="47">
        <v>0.46038503867491132</v>
      </c>
      <c r="AW11" s="47">
        <v>0</v>
      </c>
      <c r="AX11" s="47">
        <v>0</v>
      </c>
      <c r="AY11" s="47">
        <v>0</v>
      </c>
      <c r="AZ11" s="47">
        <v>0</v>
      </c>
      <c r="BA11" s="47">
        <v>0</v>
      </c>
      <c r="BB11" s="47">
        <v>0</v>
      </c>
      <c r="BC11" s="47">
        <v>5.9153364121223424</v>
      </c>
      <c r="BD11" s="47">
        <v>0</v>
      </c>
      <c r="BE11" s="47">
        <v>0</v>
      </c>
      <c r="BF11" s="47">
        <v>0</v>
      </c>
      <c r="BG11" s="47">
        <v>0</v>
      </c>
      <c r="BH11" s="47">
        <v>0</v>
      </c>
      <c r="BI11" s="47">
        <v>0</v>
      </c>
      <c r="BJ11" s="47">
        <v>0</v>
      </c>
      <c r="BK11" s="47">
        <v>0</v>
      </c>
      <c r="BL11" s="47">
        <v>0</v>
      </c>
      <c r="BM11" s="47">
        <v>0</v>
      </c>
      <c r="BN11" s="47">
        <v>0</v>
      </c>
    </row>
    <row r="12" spans="1:66" x14ac:dyDescent="0.3">
      <c r="A12" s="537">
        <v>2018</v>
      </c>
      <c r="B12" s="538">
        <v>43419</v>
      </c>
      <c r="C12" s="538" t="s">
        <v>1719</v>
      </c>
      <c r="D12" s="538" t="s">
        <v>3</v>
      </c>
      <c r="E12" s="537" t="s">
        <v>246</v>
      </c>
      <c r="F12" s="537" t="s">
        <v>197</v>
      </c>
      <c r="G12" s="537">
        <v>2016</v>
      </c>
      <c r="H12" s="4" t="s">
        <v>214</v>
      </c>
      <c r="I12" s="4" t="s">
        <v>243</v>
      </c>
      <c r="J12" s="44" t="s">
        <v>213</v>
      </c>
      <c r="K12" s="44">
        <v>28.5</v>
      </c>
      <c r="L12" s="44">
        <v>25</v>
      </c>
      <c r="M12" s="41">
        <v>250.34899999999999</v>
      </c>
      <c r="N12" s="10">
        <v>29.668702732888608</v>
      </c>
      <c r="O12" s="32">
        <v>12.52</v>
      </c>
      <c r="P12" s="529">
        <v>94.725754011850583</v>
      </c>
      <c r="Q12" s="33">
        <v>4.6486183588564094</v>
      </c>
      <c r="R12" s="33">
        <v>21.893958054071998</v>
      </c>
      <c r="S12" s="39">
        <v>1.7313613016481368</v>
      </c>
      <c r="T12" s="39">
        <v>0.64927248486543343</v>
      </c>
      <c r="U12" s="39">
        <v>3.4639237750710654</v>
      </c>
      <c r="V12" s="39">
        <v>6.5773818368531289</v>
      </c>
      <c r="W12" s="38">
        <v>9.0187626399395313</v>
      </c>
      <c r="X12" s="39">
        <v>34.010684667077818</v>
      </c>
      <c r="Y12" s="39">
        <v>5.8020833346427763</v>
      </c>
      <c r="Z12" s="39">
        <v>27.851534157099511</v>
      </c>
      <c r="AA12" s="39">
        <v>33.571357575531522</v>
      </c>
      <c r="AB12" s="39">
        <v>8.8653666335172581</v>
      </c>
      <c r="AC12" s="39">
        <v>12.337371651819133</v>
      </c>
      <c r="AD12" s="39">
        <v>69.940941096743501</v>
      </c>
      <c r="AE12" s="39">
        <v>44.793826750405032</v>
      </c>
      <c r="AF12" s="39">
        <v>134.6076709817967</v>
      </c>
      <c r="AG12" s="39">
        <v>2.6407102958129185</v>
      </c>
      <c r="AH12" s="39">
        <v>8.9166001361704197</v>
      </c>
      <c r="AI12" s="39">
        <v>20.556588492257049</v>
      </c>
      <c r="AJ12" s="39">
        <v>47.579001377071549</v>
      </c>
      <c r="AK12" s="39">
        <v>3.7233049309340345</v>
      </c>
      <c r="AL12" s="530">
        <v>0</v>
      </c>
      <c r="AM12" s="47">
        <v>0</v>
      </c>
      <c r="AN12" s="47">
        <v>0</v>
      </c>
      <c r="AO12" s="47">
        <v>0</v>
      </c>
      <c r="AP12" s="47">
        <v>0.55348746081504707</v>
      </c>
      <c r="AQ12" s="47">
        <v>1.2059128498276572</v>
      </c>
      <c r="AR12" s="47">
        <v>0.47841813359054741</v>
      </c>
      <c r="AS12" s="47">
        <v>0.43563720761996633</v>
      </c>
      <c r="AT12" s="47">
        <v>0.21219857728478422</v>
      </c>
      <c r="AU12" s="47">
        <v>0.44483361466120092</v>
      </c>
      <c r="AV12" s="47">
        <v>0</v>
      </c>
      <c r="AW12" s="47">
        <v>0</v>
      </c>
      <c r="AX12" s="47">
        <v>0</v>
      </c>
      <c r="AY12" s="47">
        <v>0</v>
      </c>
      <c r="AZ12" s="47">
        <v>0</v>
      </c>
      <c r="BA12" s="47">
        <v>0</v>
      </c>
      <c r="BB12" s="47">
        <v>0</v>
      </c>
      <c r="BC12" s="47">
        <v>4.9301350019149215</v>
      </c>
      <c r="BD12" s="47">
        <v>0</v>
      </c>
      <c r="BE12" s="47">
        <v>0</v>
      </c>
      <c r="BF12" s="47">
        <v>0</v>
      </c>
      <c r="BG12" s="47">
        <v>0</v>
      </c>
      <c r="BH12" s="47">
        <v>0</v>
      </c>
      <c r="BI12" s="47">
        <v>0</v>
      </c>
      <c r="BJ12" s="47">
        <v>0</v>
      </c>
      <c r="BK12" s="47">
        <v>0</v>
      </c>
      <c r="BL12" s="47">
        <v>0</v>
      </c>
      <c r="BM12" s="47">
        <v>0</v>
      </c>
      <c r="BN12" s="47">
        <v>0</v>
      </c>
    </row>
    <row r="13" spans="1:66" x14ac:dyDescent="0.3">
      <c r="A13" s="537">
        <v>2018</v>
      </c>
      <c r="B13" s="538">
        <v>43419</v>
      </c>
      <c r="C13" s="538" t="s">
        <v>1719</v>
      </c>
      <c r="D13" s="538" t="s">
        <v>3</v>
      </c>
      <c r="E13" s="537" t="s">
        <v>246</v>
      </c>
      <c r="F13" s="537" t="s">
        <v>197</v>
      </c>
      <c r="G13" s="537">
        <v>2016</v>
      </c>
      <c r="H13" s="4" t="s">
        <v>247</v>
      </c>
      <c r="I13" s="4" t="s">
        <v>232</v>
      </c>
      <c r="J13" s="44" t="s">
        <v>213</v>
      </c>
      <c r="K13" s="44">
        <v>24.5</v>
      </c>
      <c r="L13" s="44">
        <v>21.5</v>
      </c>
      <c r="M13" s="10">
        <v>1.2140000000000022</v>
      </c>
      <c r="N13" s="10">
        <v>20.263591433278563</v>
      </c>
      <c r="O13" s="40">
        <v>5.4</v>
      </c>
      <c r="P13" s="42"/>
      <c r="Q13" s="42"/>
      <c r="R13" s="6"/>
      <c r="T13" s="38">
        <v>1.1410436050905206</v>
      </c>
      <c r="U13" s="39">
        <v>0.68460371985245816</v>
      </c>
      <c r="V13" s="38">
        <v>3.0116406796873103</v>
      </c>
      <c r="W13" s="38">
        <v>4.1537359790546073</v>
      </c>
      <c r="X13" s="39">
        <v>18.872959537734488</v>
      </c>
      <c r="Y13" s="39">
        <v>4.0401558341901112</v>
      </c>
      <c r="Z13" s="39">
        <v>12.708887877228388</v>
      </c>
      <c r="AA13" s="38">
        <v>19.815641693369805</v>
      </c>
      <c r="AB13" s="39">
        <v>6.858300358741058</v>
      </c>
      <c r="AC13" s="39">
        <v>3.6533083757153078</v>
      </c>
      <c r="AD13" s="39">
        <v>44.679177852092074</v>
      </c>
      <c r="AE13" s="39">
        <v>19.278455614226537</v>
      </c>
      <c r="AF13" s="39">
        <v>77.457494329607471</v>
      </c>
      <c r="AG13" s="39">
        <v>1.9031805418183998</v>
      </c>
      <c r="AH13" s="39">
        <v>8.8666451644839999</v>
      </c>
      <c r="AI13" s="39">
        <v>20.546934643536595</v>
      </c>
      <c r="AJ13" s="39">
        <v>28.972095074022711</v>
      </c>
      <c r="AK13" s="39">
        <v>4.410108522083279</v>
      </c>
      <c r="AL13" s="530">
        <v>0</v>
      </c>
      <c r="AM13" s="47">
        <v>0</v>
      </c>
      <c r="AN13" s="47">
        <v>0</v>
      </c>
      <c r="AO13" s="47">
        <v>0</v>
      </c>
      <c r="AP13" s="47">
        <v>2.2643500378084829</v>
      </c>
      <c r="AQ13" s="47">
        <v>3.4982652578457656</v>
      </c>
      <c r="AR13" s="47">
        <v>1.4274352100089367</v>
      </c>
      <c r="AS13" s="47">
        <v>1.3710387021378978</v>
      </c>
      <c r="AT13" s="47">
        <v>0.39461057262665838</v>
      </c>
      <c r="AU13" s="47">
        <v>0</v>
      </c>
      <c r="AV13" s="47">
        <v>3.9528582808664812</v>
      </c>
      <c r="AW13" s="47">
        <v>0</v>
      </c>
      <c r="AX13" s="47">
        <v>0</v>
      </c>
      <c r="AY13" s="47">
        <v>0.56084416030796735</v>
      </c>
      <c r="AZ13" s="47">
        <v>0</v>
      </c>
      <c r="BA13" s="47">
        <v>0</v>
      </c>
      <c r="BB13" s="47">
        <v>0</v>
      </c>
      <c r="BC13" s="47">
        <v>49.300320260090011</v>
      </c>
      <c r="BD13" s="47">
        <v>2.7369115928491428</v>
      </c>
      <c r="BE13" s="47">
        <v>0.41092321440846913</v>
      </c>
      <c r="BF13" s="47">
        <v>0</v>
      </c>
      <c r="BG13" s="47">
        <v>0</v>
      </c>
      <c r="BH13" s="47">
        <v>0</v>
      </c>
      <c r="BI13" s="47">
        <v>0</v>
      </c>
      <c r="BJ13" s="47">
        <v>0</v>
      </c>
      <c r="BK13" s="47">
        <v>0</v>
      </c>
      <c r="BL13" s="47">
        <v>0</v>
      </c>
      <c r="BM13" s="47">
        <v>0</v>
      </c>
      <c r="BN13" s="47">
        <v>0</v>
      </c>
    </row>
    <row r="14" spans="1:66" x14ac:dyDescent="0.3">
      <c r="A14" s="537">
        <v>2018</v>
      </c>
      <c r="B14" s="538">
        <v>43419</v>
      </c>
      <c r="C14" s="538" t="s">
        <v>1719</v>
      </c>
      <c r="D14" s="538" t="s">
        <v>3</v>
      </c>
      <c r="E14" s="537" t="s">
        <v>246</v>
      </c>
      <c r="F14" s="537" t="s">
        <v>197</v>
      </c>
      <c r="G14" s="537">
        <v>2016</v>
      </c>
      <c r="H14" s="4" t="s">
        <v>247</v>
      </c>
      <c r="I14" s="4" t="s">
        <v>233</v>
      </c>
      <c r="J14" s="44" t="s">
        <v>213</v>
      </c>
      <c r="K14" s="44">
        <v>24.8</v>
      </c>
      <c r="L14" s="44">
        <v>21.8</v>
      </c>
      <c r="M14" s="10">
        <v>0.92999999999999972</v>
      </c>
      <c r="N14" s="10">
        <v>21.397849462365389</v>
      </c>
      <c r="O14" s="40">
        <v>9.1999999999999993</v>
      </c>
      <c r="P14" s="42"/>
      <c r="Q14" s="42"/>
      <c r="R14" s="6"/>
      <c r="T14" s="38">
        <v>0.30906745112472284</v>
      </c>
      <c r="U14" s="39">
        <v>1.0980207624429481</v>
      </c>
      <c r="V14" s="38">
        <v>3.9857317082014148</v>
      </c>
      <c r="W14" s="38">
        <v>6.8051294508639053</v>
      </c>
      <c r="X14" s="39">
        <v>26.275248779613609</v>
      </c>
      <c r="Y14" s="39">
        <v>5.2968102329180082</v>
      </c>
      <c r="Z14" s="39">
        <v>23.81666748256777</v>
      </c>
      <c r="AA14" s="38">
        <v>27.012749253309046</v>
      </c>
      <c r="AB14" s="39">
        <v>8.831532550066548</v>
      </c>
      <c r="AC14" s="39">
        <v>12.514741777384554</v>
      </c>
      <c r="AD14" s="39">
        <v>60.525003440311053</v>
      </c>
      <c r="AE14" s="39">
        <v>32.421611900382203</v>
      </c>
      <c r="AF14" s="39">
        <v>94.510473913032314</v>
      </c>
      <c r="AG14" s="39">
        <v>1.5290574954294402</v>
      </c>
      <c r="AH14" s="39">
        <v>7.7802135070855982</v>
      </c>
      <c r="AI14" s="39">
        <v>12.614289604309146</v>
      </c>
      <c r="AJ14" s="39">
        <v>34.344377418055892</v>
      </c>
      <c r="AK14" s="39">
        <v>2.8524389142801754</v>
      </c>
    </row>
    <row r="15" spans="1:66" x14ac:dyDescent="0.3">
      <c r="A15" s="537">
        <v>2018</v>
      </c>
      <c r="B15" s="538">
        <v>43419</v>
      </c>
      <c r="C15" s="538" t="s">
        <v>1719</v>
      </c>
      <c r="D15" s="538" t="s">
        <v>3</v>
      </c>
      <c r="E15" s="537" t="s">
        <v>246</v>
      </c>
      <c r="F15" s="537" t="s">
        <v>197</v>
      </c>
      <c r="G15" s="537">
        <v>2016</v>
      </c>
      <c r="H15" s="4" t="s">
        <v>247</v>
      </c>
      <c r="I15" s="4" t="s">
        <v>237</v>
      </c>
      <c r="J15" s="44" t="s">
        <v>213</v>
      </c>
      <c r="K15" s="44">
        <v>27.2</v>
      </c>
      <c r="L15" s="44">
        <v>24</v>
      </c>
      <c r="M15" s="10">
        <v>2.416999999999998</v>
      </c>
      <c r="N15" s="10">
        <v>26.603227141083892</v>
      </c>
      <c r="O15" s="40">
        <v>19.7</v>
      </c>
      <c r="P15" s="42"/>
      <c r="Q15" s="42"/>
      <c r="R15" s="6"/>
      <c r="T15" s="38">
        <v>2.166785964802981</v>
      </c>
      <c r="U15" s="39">
        <v>9.5332217493892983</v>
      </c>
      <c r="V15" s="38">
        <v>17.476041374439728</v>
      </c>
      <c r="W15" s="38">
        <v>31.759340567216562</v>
      </c>
      <c r="X15" s="39">
        <v>85.498620513361914</v>
      </c>
      <c r="Y15" s="39">
        <v>15.588651799750698</v>
      </c>
      <c r="Z15" s="39">
        <v>75.306032788197172</v>
      </c>
      <c r="AA15" s="38">
        <v>84.963735140493299</v>
      </c>
      <c r="AB15" s="39">
        <v>23.889990835283669</v>
      </c>
      <c r="AC15" s="39">
        <v>20.16676607704488</v>
      </c>
      <c r="AD15" s="39">
        <v>162.65885743953558</v>
      </c>
      <c r="AE15" s="39">
        <v>90.439424073761955</v>
      </c>
      <c r="AF15" s="39">
        <v>259.74089289167421</v>
      </c>
      <c r="AG15" s="39">
        <v>5.6248831914729172</v>
      </c>
      <c r="AH15" s="39">
        <v>25.870380411182254</v>
      </c>
      <c r="AI15" s="39">
        <v>33.788044987090458</v>
      </c>
      <c r="AJ15" s="39">
        <v>85.851156869027918</v>
      </c>
      <c r="AK15" s="39">
        <v>12.233615011208386</v>
      </c>
      <c r="AL15" s="530">
        <v>0</v>
      </c>
      <c r="AM15" s="47">
        <v>0</v>
      </c>
      <c r="AN15" s="47">
        <v>0</v>
      </c>
      <c r="AO15" s="47">
        <v>2.4147853502429779</v>
      </c>
      <c r="AP15" s="47">
        <v>3.556693611473273</v>
      </c>
      <c r="AQ15" s="47">
        <v>4.9529012961116656</v>
      </c>
      <c r="AR15" s="47">
        <v>1.5841121251629728</v>
      </c>
      <c r="AS15" s="47">
        <v>2.0208187744458934</v>
      </c>
      <c r="AT15" s="47">
        <v>0.81481095176010443</v>
      </c>
      <c r="AU15" s="47">
        <v>2.156182529335072</v>
      </c>
      <c r="AV15" s="47">
        <v>7.1904231919625747</v>
      </c>
      <c r="AW15" s="47">
        <v>0</v>
      </c>
      <c r="AX15" s="47">
        <v>0</v>
      </c>
      <c r="AY15" s="47">
        <v>0</v>
      </c>
      <c r="AZ15" s="47">
        <v>0</v>
      </c>
      <c r="BA15" s="47">
        <v>0</v>
      </c>
      <c r="BB15" s="47">
        <v>0</v>
      </c>
      <c r="BC15" s="47">
        <v>68.6138372574584</v>
      </c>
      <c r="BD15" s="47">
        <v>11.080827977605646</v>
      </c>
      <c r="BE15" s="47">
        <v>0.49151499348109523</v>
      </c>
      <c r="BF15" s="47">
        <v>0</v>
      </c>
      <c r="BG15" s="47">
        <v>0</v>
      </c>
      <c r="BH15" s="47">
        <v>0</v>
      </c>
      <c r="BI15" s="47">
        <v>0.45865971316818777</v>
      </c>
      <c r="BJ15" s="47">
        <v>0</v>
      </c>
      <c r="BK15" s="47">
        <v>0</v>
      </c>
      <c r="BL15" s="47">
        <v>0</v>
      </c>
      <c r="BM15" s="47">
        <v>0</v>
      </c>
      <c r="BN15" s="47">
        <v>0</v>
      </c>
    </row>
    <row r="16" spans="1:66" x14ac:dyDescent="0.3">
      <c r="A16" s="537">
        <v>2018</v>
      </c>
      <c r="B16" s="538">
        <v>43419</v>
      </c>
      <c r="C16" s="538" t="s">
        <v>1719</v>
      </c>
      <c r="D16" s="538" t="s">
        <v>3</v>
      </c>
      <c r="E16" s="537" t="s">
        <v>246</v>
      </c>
      <c r="F16" s="537" t="s">
        <v>197</v>
      </c>
      <c r="G16" s="537">
        <v>2016</v>
      </c>
      <c r="H16" s="4" t="s">
        <v>247</v>
      </c>
      <c r="I16" s="4" t="s">
        <v>234</v>
      </c>
      <c r="J16" s="44" t="s">
        <v>213</v>
      </c>
      <c r="K16" s="44">
        <v>25</v>
      </c>
      <c r="L16" s="44">
        <v>22.5</v>
      </c>
      <c r="M16" s="10">
        <v>2.1819999999999986</v>
      </c>
      <c r="N16" s="10">
        <v>35.059578368469182</v>
      </c>
      <c r="P16" s="42"/>
      <c r="Q16" s="42"/>
      <c r="R16" s="6"/>
      <c r="AL16" s="530">
        <v>1.1305438637192191</v>
      </c>
      <c r="AM16" s="47">
        <v>0</v>
      </c>
      <c r="AN16" s="47">
        <v>0</v>
      </c>
      <c r="AO16" s="47">
        <v>0</v>
      </c>
      <c r="AP16" s="47">
        <v>0.92963908129784911</v>
      </c>
      <c r="AQ16" s="47">
        <v>2.1080380004717894</v>
      </c>
      <c r="AR16" s="47">
        <v>0.70017316806416341</v>
      </c>
      <c r="AS16" s="47">
        <v>0.7292745169522421</v>
      </c>
      <c r="AT16" s="47">
        <v>0.46110098432373314</v>
      </c>
      <c r="AU16" s="47">
        <v>0.82136347065257032</v>
      </c>
      <c r="AV16" s="47">
        <v>0.83781132722866758</v>
      </c>
      <c r="AW16" s="47">
        <v>0</v>
      </c>
      <c r="AX16" s="47">
        <v>0</v>
      </c>
      <c r="AY16" s="47">
        <v>0</v>
      </c>
      <c r="AZ16" s="47">
        <v>0</v>
      </c>
      <c r="BA16" s="47">
        <v>0</v>
      </c>
      <c r="BB16" s="47">
        <v>0</v>
      </c>
      <c r="BC16" s="47">
        <v>9.8413098582488043</v>
      </c>
      <c r="BD16" s="47">
        <v>1.9673524050524331</v>
      </c>
      <c r="BE16" s="47">
        <v>0</v>
      </c>
      <c r="BF16" s="47">
        <v>0</v>
      </c>
      <c r="BG16" s="47">
        <v>0</v>
      </c>
      <c r="BH16" s="47">
        <v>0</v>
      </c>
      <c r="BI16" s="47">
        <v>0</v>
      </c>
      <c r="BJ16" s="47">
        <v>0</v>
      </c>
      <c r="BK16" s="47">
        <v>0</v>
      </c>
      <c r="BL16" s="47">
        <v>0</v>
      </c>
      <c r="BM16" s="47">
        <v>0</v>
      </c>
      <c r="BN16" s="47">
        <v>0</v>
      </c>
    </row>
    <row r="17" spans="1:66" x14ac:dyDescent="0.3">
      <c r="A17" s="537">
        <v>2018</v>
      </c>
      <c r="B17" s="538">
        <v>43419</v>
      </c>
      <c r="C17" s="538" t="s">
        <v>1719</v>
      </c>
      <c r="D17" s="538" t="s">
        <v>3</v>
      </c>
      <c r="E17" s="537" t="s">
        <v>246</v>
      </c>
      <c r="F17" s="537" t="s">
        <v>197</v>
      </c>
      <c r="G17" s="537">
        <v>2016</v>
      </c>
      <c r="H17" s="4" t="s">
        <v>247</v>
      </c>
      <c r="I17" s="4" t="s">
        <v>235</v>
      </c>
      <c r="J17" s="44" t="s">
        <v>213</v>
      </c>
      <c r="K17" s="44">
        <v>25.5</v>
      </c>
      <c r="L17" s="44">
        <v>22.7</v>
      </c>
      <c r="M17" s="10">
        <v>1.0190000000000019</v>
      </c>
      <c r="N17" s="10">
        <v>25.220804710500587</v>
      </c>
      <c r="O17" s="40">
        <v>7.1</v>
      </c>
      <c r="P17" s="42"/>
      <c r="Q17" s="42"/>
      <c r="R17" s="6"/>
      <c r="T17" s="38">
        <v>0.6161104488894098</v>
      </c>
      <c r="U17" s="39">
        <v>1.4144198859552146</v>
      </c>
      <c r="V17" s="38">
        <v>3.5053489637676525</v>
      </c>
      <c r="W17" s="38">
        <v>7.5469084009330132</v>
      </c>
      <c r="X17" s="39">
        <v>37.83942100861524</v>
      </c>
      <c r="Y17" s="39">
        <v>9.4320467801767123</v>
      </c>
      <c r="Z17" s="39">
        <v>25.453569885776211</v>
      </c>
      <c r="AA17" s="38">
        <v>49.951889138087843</v>
      </c>
      <c r="AB17" s="39">
        <v>16.709985988586034</v>
      </c>
      <c r="AC17" s="39">
        <v>17.132473428138898</v>
      </c>
      <c r="AD17" s="39">
        <v>120.67205851486256</v>
      </c>
      <c r="AE17" s="39">
        <v>47.451373080125052</v>
      </c>
      <c r="AF17" s="39">
        <v>203.74317159485508</v>
      </c>
      <c r="AG17" s="39">
        <v>2.783932223411294</v>
      </c>
      <c r="AH17" s="39">
        <v>23.075950746292168</v>
      </c>
      <c r="AI17" s="39">
        <v>44.638937543224898</v>
      </c>
      <c r="AJ17" s="39">
        <v>78.596030535423111</v>
      </c>
      <c r="AK17" s="39">
        <v>9.2953670120576337</v>
      </c>
    </row>
    <row r="18" spans="1:66" x14ac:dyDescent="0.3">
      <c r="A18" s="537">
        <v>2018</v>
      </c>
      <c r="B18" s="538">
        <v>43419</v>
      </c>
      <c r="C18" s="538" t="s">
        <v>1719</v>
      </c>
      <c r="D18" s="538" t="s">
        <v>3</v>
      </c>
      <c r="E18" s="537" t="s">
        <v>246</v>
      </c>
      <c r="F18" s="537" t="s">
        <v>197</v>
      </c>
      <c r="G18" s="537">
        <v>2016</v>
      </c>
      <c r="H18" s="4" t="s">
        <v>247</v>
      </c>
      <c r="I18" s="4" t="s">
        <v>242</v>
      </c>
      <c r="J18" s="44" t="s">
        <v>213</v>
      </c>
      <c r="K18" s="44">
        <v>28.5</v>
      </c>
      <c r="L18" s="44">
        <v>24.5</v>
      </c>
      <c r="M18" s="10">
        <v>2.4329999999999998</v>
      </c>
      <c r="N18" s="10">
        <v>21.989313604603378</v>
      </c>
      <c r="O18" s="40">
        <v>6.3</v>
      </c>
      <c r="P18" s="529">
        <v>22.224356911827599</v>
      </c>
      <c r="Q18" s="33">
        <v>11.139199231507339</v>
      </c>
      <c r="R18" s="33">
        <v>43.796294522451667</v>
      </c>
      <c r="T18" s="38">
        <v>0.81297216172464792</v>
      </c>
      <c r="U18" s="39">
        <v>1.4080303623913368</v>
      </c>
      <c r="V18" s="38">
        <v>4.3150277336344276</v>
      </c>
      <c r="W18" s="38">
        <v>5.6899226240236089</v>
      </c>
      <c r="X18" s="39">
        <v>21.044436855561699</v>
      </c>
      <c r="Y18" s="39">
        <v>4.0213309648721802</v>
      </c>
      <c r="Z18" s="39">
        <v>17.285087128846541</v>
      </c>
      <c r="AA18" s="38">
        <v>18.127620993767231</v>
      </c>
      <c r="AB18" s="39">
        <v>6.3765877742521981</v>
      </c>
      <c r="AC18" s="39">
        <v>3.5761202276084165</v>
      </c>
      <c r="AD18" s="39">
        <v>36.076235400923366</v>
      </c>
      <c r="AE18" s="39">
        <v>23.345051920781017</v>
      </c>
      <c r="AF18" s="39">
        <v>57.330615357336256</v>
      </c>
      <c r="AG18" s="39">
        <v>1.1714616757635716</v>
      </c>
      <c r="AH18" s="39">
        <v>4.7364293098598811</v>
      </c>
      <c r="AI18" s="39">
        <v>9.2164324347945819</v>
      </c>
      <c r="AJ18" s="39">
        <v>20.807708091480059</v>
      </c>
      <c r="AK18" s="39">
        <v>1.5560177780601374</v>
      </c>
    </row>
    <row r="19" spans="1:66" x14ac:dyDescent="0.3">
      <c r="A19" s="537">
        <v>2018</v>
      </c>
      <c r="B19" s="538">
        <v>43419</v>
      </c>
      <c r="C19" s="538" t="s">
        <v>1719</v>
      </c>
      <c r="D19" s="538" t="s">
        <v>3</v>
      </c>
      <c r="E19" s="537" t="s">
        <v>246</v>
      </c>
      <c r="F19" s="537" t="s">
        <v>197</v>
      </c>
      <c r="G19" s="537">
        <v>2016</v>
      </c>
      <c r="H19" s="4" t="s">
        <v>247</v>
      </c>
      <c r="I19" s="4" t="s">
        <v>241</v>
      </c>
      <c r="J19" s="44" t="s">
        <v>213</v>
      </c>
      <c r="K19" s="44">
        <v>28</v>
      </c>
      <c r="L19" s="44">
        <v>24.8</v>
      </c>
      <c r="M19" s="10">
        <v>3.2070000000000007</v>
      </c>
      <c r="N19" s="10">
        <v>27.814156532584949</v>
      </c>
      <c r="O19" s="40">
        <v>27.9</v>
      </c>
      <c r="P19" s="529">
        <v>171.30044240728353</v>
      </c>
      <c r="Q19" s="33">
        <v>7.8805042364392257</v>
      </c>
      <c r="R19" s="33">
        <v>30.98399421282431</v>
      </c>
      <c r="T19" s="38">
        <v>1.7564299707260644</v>
      </c>
      <c r="U19" s="39">
        <v>3.0328354660632533</v>
      </c>
      <c r="V19" s="38">
        <v>7.9675224522986063</v>
      </c>
      <c r="W19" s="38">
        <v>13.43770284389036</v>
      </c>
      <c r="X19" s="39">
        <v>42.318784020333538</v>
      </c>
      <c r="Y19" s="39">
        <v>9.959577561381364</v>
      </c>
      <c r="Z19" s="39">
        <v>38.302178013562767</v>
      </c>
      <c r="AA19" s="38">
        <v>51.45117065397227</v>
      </c>
      <c r="AB19" s="39">
        <v>15.924612831446705</v>
      </c>
      <c r="AC19" s="39">
        <v>13.629199040512642</v>
      </c>
      <c r="AD19" s="39">
        <v>107.89734193825673</v>
      </c>
      <c r="AE19" s="39">
        <v>67.154520264621141</v>
      </c>
      <c r="AF19" s="39">
        <v>189.47201705188161</v>
      </c>
      <c r="AG19" s="39">
        <v>5.4561449588677382</v>
      </c>
      <c r="AH19" s="39">
        <v>29.919106994963098</v>
      </c>
      <c r="AI19" s="39">
        <v>33.587915688925328</v>
      </c>
      <c r="AJ19" s="39">
        <v>67.992810432693858</v>
      </c>
      <c r="AK19" s="39">
        <v>13.920828637843528</v>
      </c>
      <c r="AL19" s="530">
        <v>0</v>
      </c>
      <c r="AM19" s="47">
        <v>0</v>
      </c>
      <c r="AN19" s="47">
        <v>0</v>
      </c>
      <c r="AO19" s="47">
        <v>2.2323802779498982</v>
      </c>
      <c r="AP19" s="47">
        <v>2.6111976630963971</v>
      </c>
      <c r="AQ19" s="47">
        <v>1.5253937797124693</v>
      </c>
      <c r="AR19" s="47">
        <v>0.6716538087034678</v>
      </c>
      <c r="AS19" s="47">
        <v>0.66080817916260948</v>
      </c>
      <c r="AT19" s="47">
        <v>0</v>
      </c>
      <c r="AU19" s="47">
        <v>0</v>
      </c>
      <c r="AV19" s="47">
        <v>1.9046823987628156</v>
      </c>
      <c r="AW19" s="47">
        <v>0</v>
      </c>
      <c r="AX19" s="47">
        <v>0</v>
      </c>
      <c r="AY19" s="47">
        <v>0</v>
      </c>
      <c r="AZ19" s="47">
        <v>0</v>
      </c>
      <c r="BA19" s="47">
        <v>0</v>
      </c>
      <c r="BB19" s="47">
        <v>0</v>
      </c>
      <c r="BC19" s="47">
        <v>15.506200240563604</v>
      </c>
      <c r="BD19" s="47">
        <v>2.1208431181625524</v>
      </c>
      <c r="BE19" s="47">
        <v>0</v>
      </c>
      <c r="BF19" s="47">
        <v>0</v>
      </c>
      <c r="BG19" s="47">
        <v>0</v>
      </c>
      <c r="BH19" s="47">
        <v>0</v>
      </c>
      <c r="BI19" s="47">
        <v>0</v>
      </c>
      <c r="BJ19" s="47">
        <v>0</v>
      </c>
      <c r="BK19" s="47">
        <v>0</v>
      </c>
      <c r="BL19" s="47">
        <v>0</v>
      </c>
      <c r="BM19" s="47">
        <v>0</v>
      </c>
      <c r="BN19" s="47">
        <v>0</v>
      </c>
    </row>
    <row r="20" spans="1:66" x14ac:dyDescent="0.3">
      <c r="A20" s="537">
        <v>2018</v>
      </c>
      <c r="B20" s="538">
        <v>43419</v>
      </c>
      <c r="C20" s="538" t="s">
        <v>1719</v>
      </c>
      <c r="D20" s="538" t="s">
        <v>3</v>
      </c>
      <c r="E20" s="537" t="s">
        <v>246</v>
      </c>
      <c r="F20" s="537" t="s">
        <v>197</v>
      </c>
      <c r="G20" s="537">
        <v>2016</v>
      </c>
      <c r="H20" s="4" t="s">
        <v>247</v>
      </c>
      <c r="I20" s="4" t="s">
        <v>238</v>
      </c>
      <c r="J20" s="44" t="s">
        <v>213</v>
      </c>
      <c r="K20" s="44">
        <v>27.5</v>
      </c>
      <c r="L20" s="44">
        <v>24.5</v>
      </c>
      <c r="M20" s="10">
        <v>3.5090000000000003</v>
      </c>
      <c r="N20" s="10">
        <v>29.43858649187796</v>
      </c>
      <c r="O20" s="40">
        <v>39.5</v>
      </c>
      <c r="P20" s="529">
        <v>523.64974575326778</v>
      </c>
      <c r="Q20" s="33">
        <v>5.8544086870137999</v>
      </c>
      <c r="R20" s="33">
        <v>23.01793888253852</v>
      </c>
      <c r="S20" s="39">
        <v>4.2070216762193402</v>
      </c>
      <c r="T20" s="38">
        <v>4.0727094449176429</v>
      </c>
      <c r="U20" s="39">
        <v>32.233168089660609</v>
      </c>
      <c r="V20" s="38">
        <v>61.850547272822539</v>
      </c>
      <c r="W20" s="38">
        <v>103.87109108375417</v>
      </c>
      <c r="X20" s="39">
        <v>327.7898146983498</v>
      </c>
      <c r="Y20" s="39">
        <v>45.649085763388918</v>
      </c>
      <c r="Z20" s="39">
        <v>264.70749452075665</v>
      </c>
      <c r="AA20" s="38">
        <v>254.42200824926496</v>
      </c>
      <c r="AB20" s="39">
        <v>58.10939413584039</v>
      </c>
      <c r="AC20" s="39">
        <v>48.985084030062225</v>
      </c>
      <c r="AD20" s="39">
        <v>393.32587646008551</v>
      </c>
      <c r="AE20" s="39">
        <v>275.84634316115734</v>
      </c>
      <c r="AF20" s="39">
        <v>736.50176879495939</v>
      </c>
      <c r="AG20" s="39">
        <v>19.205981524460839</v>
      </c>
      <c r="AH20" s="39">
        <v>22.551717447282421</v>
      </c>
      <c r="AI20" s="39">
        <v>129.56723012845285</v>
      </c>
      <c r="AJ20" s="39">
        <v>164.47108885449737</v>
      </c>
      <c r="AK20" s="39">
        <v>18.606270603193707</v>
      </c>
      <c r="AL20" s="530">
        <v>0</v>
      </c>
      <c r="AM20" s="47">
        <v>0</v>
      </c>
      <c r="AN20" s="47">
        <v>0</v>
      </c>
      <c r="AO20" s="47">
        <v>0</v>
      </c>
      <c r="AP20" s="47">
        <v>0.39582186234817818</v>
      </c>
      <c r="AQ20" s="47">
        <v>0.94648440104786846</v>
      </c>
      <c r="AR20" s="47">
        <v>0</v>
      </c>
      <c r="AS20" s="47">
        <v>0.7577975708502025</v>
      </c>
      <c r="AT20" s="47">
        <v>0.50840485829959514</v>
      </c>
      <c r="AU20" s="47">
        <v>0.84864777327935226</v>
      </c>
      <c r="AV20" s="47">
        <v>0.46558418671112173</v>
      </c>
      <c r="AW20" s="47">
        <v>0</v>
      </c>
      <c r="AX20" s="47">
        <v>0</v>
      </c>
      <c r="AY20" s="47">
        <v>0</v>
      </c>
      <c r="AZ20" s="47">
        <v>0</v>
      </c>
      <c r="BA20" s="47">
        <v>0</v>
      </c>
      <c r="BB20" s="47">
        <v>0</v>
      </c>
      <c r="BC20" s="47">
        <v>14.80226149083115</v>
      </c>
      <c r="BD20" s="47">
        <v>2.7133017385091693</v>
      </c>
      <c r="BE20" s="47">
        <v>0</v>
      </c>
      <c r="BF20" s="47">
        <v>0</v>
      </c>
      <c r="BG20" s="47">
        <v>0</v>
      </c>
      <c r="BH20" s="47">
        <v>0</v>
      </c>
      <c r="BI20" s="47">
        <v>0</v>
      </c>
      <c r="BJ20" s="47">
        <v>0</v>
      </c>
      <c r="BK20" s="47">
        <v>0</v>
      </c>
      <c r="BL20" s="47">
        <v>0</v>
      </c>
      <c r="BM20" s="47">
        <v>0</v>
      </c>
      <c r="BN20" s="47">
        <v>0</v>
      </c>
    </row>
    <row r="21" spans="1:66" x14ac:dyDescent="0.3">
      <c r="A21" s="537">
        <v>2018</v>
      </c>
      <c r="B21" s="538">
        <v>43419</v>
      </c>
      <c r="C21" s="538" t="s">
        <v>1719</v>
      </c>
      <c r="D21" s="538" t="s">
        <v>3</v>
      </c>
      <c r="E21" s="537" t="s">
        <v>246</v>
      </c>
      <c r="F21" s="537" t="s">
        <v>197</v>
      </c>
      <c r="G21" s="537">
        <v>2016</v>
      </c>
      <c r="H21" s="4" t="s">
        <v>247</v>
      </c>
      <c r="I21" s="4" t="s">
        <v>236</v>
      </c>
      <c r="J21" s="44" t="s">
        <v>213</v>
      </c>
      <c r="K21" s="44">
        <v>26</v>
      </c>
      <c r="L21" s="44">
        <v>22.5</v>
      </c>
      <c r="M21" s="10">
        <v>1.407</v>
      </c>
      <c r="N21" s="10">
        <v>15.138592750533117</v>
      </c>
      <c r="P21" s="42"/>
      <c r="Q21" s="42"/>
      <c r="R21" s="6"/>
      <c r="U21" s="30"/>
      <c r="V21" s="37"/>
      <c r="W21" s="32"/>
      <c r="X21" s="32"/>
      <c r="AB21" s="32"/>
      <c r="AH21" s="37"/>
      <c r="AL21" s="530">
        <v>0</v>
      </c>
      <c r="AM21" s="47">
        <v>0</v>
      </c>
      <c r="AN21" s="47">
        <v>0</v>
      </c>
      <c r="AO21" s="47">
        <v>2.8411595291760579</v>
      </c>
      <c r="AP21" s="47">
        <v>2.8507522780250052</v>
      </c>
      <c r="AQ21" s="47">
        <v>2.4656275631676703</v>
      </c>
      <c r="AR21" s="47">
        <v>1.2458677685950412</v>
      </c>
      <c r="AS21" s="47">
        <v>1.4429222292858657</v>
      </c>
      <c r="AT21" s="47">
        <v>0</v>
      </c>
      <c r="AU21" s="47">
        <v>0.85488450942996397</v>
      </c>
      <c r="AV21" s="47">
        <v>3.219322513493637</v>
      </c>
      <c r="AW21" s="47">
        <v>0</v>
      </c>
      <c r="AX21" s="47">
        <v>0</v>
      </c>
      <c r="AY21" s="47">
        <v>0</v>
      </c>
      <c r="AZ21" s="47">
        <v>0</v>
      </c>
      <c r="BA21" s="47">
        <v>0</v>
      </c>
      <c r="BB21" s="47">
        <v>0</v>
      </c>
      <c r="BC21" s="47">
        <v>40.249316779477205</v>
      </c>
      <c r="BD21" s="47">
        <v>9.5718892337608921</v>
      </c>
      <c r="BE21" s="47">
        <v>0.5015257469802924</v>
      </c>
      <c r="BF21" s="47">
        <v>0</v>
      </c>
      <c r="BG21" s="47">
        <v>0</v>
      </c>
      <c r="BH21" s="47">
        <v>0</v>
      </c>
      <c r="BI21" s="47">
        <v>5.3369357914812461E-2</v>
      </c>
      <c r="BJ21" s="47">
        <v>0</v>
      </c>
      <c r="BK21" s="47">
        <v>0</v>
      </c>
      <c r="BL21" s="47">
        <v>0</v>
      </c>
      <c r="BM21" s="47">
        <v>0</v>
      </c>
      <c r="BN21" s="47">
        <v>0</v>
      </c>
    </row>
    <row r="22" spans="1:66" x14ac:dyDescent="0.3">
      <c r="A22" s="537">
        <v>2018</v>
      </c>
      <c r="B22" s="538">
        <v>43419</v>
      </c>
      <c r="C22" s="538" t="s">
        <v>1719</v>
      </c>
      <c r="D22" s="538" t="s">
        <v>3</v>
      </c>
      <c r="E22" s="537" t="s">
        <v>246</v>
      </c>
      <c r="F22" s="537" t="s">
        <v>197</v>
      </c>
      <c r="G22" s="537">
        <v>2016</v>
      </c>
      <c r="H22" s="4" t="s">
        <v>247</v>
      </c>
      <c r="I22" s="4" t="s">
        <v>239</v>
      </c>
      <c r="J22" s="44" t="s">
        <v>213</v>
      </c>
      <c r="K22" s="44">
        <v>27.5</v>
      </c>
      <c r="L22" s="44">
        <v>24</v>
      </c>
      <c r="M22" s="10">
        <v>3.4619999999999997</v>
      </c>
      <c r="N22" s="10">
        <v>32.611207394569654</v>
      </c>
      <c r="O22" s="40">
        <v>15.5</v>
      </c>
      <c r="P22" s="529">
        <v>87.417504673774232</v>
      </c>
      <c r="Q22" s="33">
        <v>8.5331339868689753</v>
      </c>
      <c r="R22" s="33">
        <v>33.549956466474363</v>
      </c>
      <c r="T22" s="38">
        <v>1.2732685967007653</v>
      </c>
      <c r="U22" s="39">
        <v>2.2488402318497878</v>
      </c>
      <c r="V22" s="38">
        <v>7.9998275738635201</v>
      </c>
      <c r="W22" s="38">
        <v>13.399652183106747</v>
      </c>
      <c r="X22" s="39">
        <v>43.3021070109154</v>
      </c>
      <c r="Y22" s="39">
        <v>8.4626356558776958</v>
      </c>
      <c r="Z22" s="39">
        <v>34.385038662361772</v>
      </c>
      <c r="AA22" s="38">
        <v>51.355202315725606</v>
      </c>
      <c r="AB22" s="39">
        <v>13.725000393789109</v>
      </c>
      <c r="AC22" s="39">
        <v>8.4170779206078645</v>
      </c>
      <c r="AD22" s="39">
        <v>92.853848949725574</v>
      </c>
      <c r="AE22" s="39">
        <v>49.293214440450051</v>
      </c>
      <c r="AF22" s="39">
        <v>152.3652134693242</v>
      </c>
      <c r="AG22" s="39">
        <v>3.5424184300241377</v>
      </c>
      <c r="AH22" s="39">
        <v>12.086996766237341</v>
      </c>
      <c r="AI22" s="39">
        <v>16.099797244177537</v>
      </c>
      <c r="AJ22" s="39">
        <v>50.762840099317074</v>
      </c>
      <c r="AK22" s="39">
        <v>4.0524804447318381</v>
      </c>
      <c r="AL22" s="530">
        <v>0</v>
      </c>
      <c r="AM22" s="47">
        <v>0</v>
      </c>
      <c r="AN22" s="47">
        <v>0</v>
      </c>
      <c r="AO22" s="47">
        <v>3.738936502094397</v>
      </c>
      <c r="AP22" s="47">
        <v>3.9102564102564106</v>
      </c>
      <c r="AQ22" s="47">
        <v>3.2495263044489051</v>
      </c>
      <c r="AR22" s="47">
        <v>1.3080778870252554</v>
      </c>
      <c r="AS22" s="47">
        <v>1.4661654135338347</v>
      </c>
      <c r="AT22" s="47">
        <v>0.58559861191440132</v>
      </c>
      <c r="AU22" s="47">
        <v>1.5201465201465201</v>
      </c>
      <c r="AV22" s="47">
        <v>3.666987831569875</v>
      </c>
      <c r="AW22" s="47">
        <v>0</v>
      </c>
      <c r="AX22" s="47">
        <v>0</v>
      </c>
      <c r="AY22" s="47">
        <v>0</v>
      </c>
      <c r="AZ22" s="47">
        <v>0</v>
      </c>
      <c r="BA22" s="47">
        <v>1.6584731058415267</v>
      </c>
      <c r="BB22" s="47">
        <v>0</v>
      </c>
      <c r="BC22" s="47">
        <v>34.172113314961614</v>
      </c>
      <c r="BD22" s="47">
        <v>3.3310373218113156</v>
      </c>
      <c r="BE22" s="47">
        <v>0.41642567958357435</v>
      </c>
      <c r="BF22" s="47">
        <v>0</v>
      </c>
      <c r="BG22" s="47">
        <v>0</v>
      </c>
      <c r="BH22" s="47">
        <v>0</v>
      </c>
      <c r="BI22" s="47">
        <v>0</v>
      </c>
      <c r="BJ22" s="47">
        <v>0</v>
      </c>
      <c r="BK22" s="47">
        <v>0</v>
      </c>
      <c r="BL22" s="47">
        <v>0</v>
      </c>
      <c r="BM22" s="47">
        <v>0</v>
      </c>
      <c r="BN22" s="47">
        <v>0</v>
      </c>
    </row>
    <row r="23" spans="1:66" x14ac:dyDescent="0.3">
      <c r="A23" s="537">
        <v>2018</v>
      </c>
      <c r="B23" s="538">
        <v>43419</v>
      </c>
      <c r="C23" s="538" t="s">
        <v>1719</v>
      </c>
      <c r="D23" s="538" t="s">
        <v>3</v>
      </c>
      <c r="E23" s="537" t="s">
        <v>246</v>
      </c>
      <c r="F23" s="537" t="s">
        <v>197</v>
      </c>
      <c r="G23" s="537">
        <v>2016</v>
      </c>
      <c r="H23" s="4" t="s">
        <v>247</v>
      </c>
      <c r="I23" s="4" t="s">
        <v>243</v>
      </c>
      <c r="J23" s="44" t="s">
        <v>213</v>
      </c>
      <c r="K23" s="44">
        <v>28.5</v>
      </c>
      <c r="L23" s="44">
        <v>25</v>
      </c>
      <c r="M23" s="10">
        <v>1.7199999999999989</v>
      </c>
      <c r="N23" s="10">
        <v>25.348837209302339</v>
      </c>
      <c r="O23" s="40">
        <v>5.8</v>
      </c>
      <c r="P23" s="529">
        <v>23.265978861241067</v>
      </c>
      <c r="Q23" s="33">
        <v>17.390311036530445</v>
      </c>
      <c r="R23" s="33">
        <v>68.373961912688259</v>
      </c>
      <c r="T23" s="38">
        <v>0.43937241781703262</v>
      </c>
      <c r="U23" s="39">
        <v>0.94364406471061402</v>
      </c>
      <c r="V23" s="38">
        <v>2.5296365892518278</v>
      </c>
      <c r="W23" s="38">
        <v>3.6936617029512071</v>
      </c>
      <c r="X23" s="39">
        <v>15.650289508287074</v>
      </c>
      <c r="Y23" s="39">
        <v>2.710895045694441</v>
      </c>
      <c r="Z23" s="39">
        <v>12.689852328923006</v>
      </c>
      <c r="AA23" s="38">
        <v>14.355825046437976</v>
      </c>
      <c r="AB23" s="39">
        <v>3.7657692607551576</v>
      </c>
      <c r="AC23" s="39">
        <v>4.9946124622052217</v>
      </c>
      <c r="AD23" s="39">
        <v>28.637074322174239</v>
      </c>
      <c r="AE23" s="39">
        <v>19.330767447528807</v>
      </c>
      <c r="AF23" s="39">
        <v>52.280791938918561</v>
      </c>
      <c r="AG23" s="39">
        <v>0.97580433828690594</v>
      </c>
      <c r="AH23" s="39">
        <v>3.9627628816910105</v>
      </c>
      <c r="AI23" s="39">
        <v>6.7349729170116497</v>
      </c>
      <c r="AJ23" s="39">
        <v>19.452443466148704</v>
      </c>
      <c r="AK23" s="39">
        <v>1.4351312313194375</v>
      </c>
    </row>
    <row r="24" spans="1:66" x14ac:dyDescent="0.3">
      <c r="A24" s="537">
        <v>2018</v>
      </c>
      <c r="B24" s="538">
        <v>43419</v>
      </c>
      <c r="C24" s="538" t="s">
        <v>1719</v>
      </c>
      <c r="D24" s="538" t="s">
        <v>3</v>
      </c>
      <c r="E24" s="537" t="s">
        <v>246</v>
      </c>
      <c r="F24" s="537" t="s">
        <v>197</v>
      </c>
      <c r="G24" s="537">
        <v>2016</v>
      </c>
      <c r="H24" s="4" t="s">
        <v>248</v>
      </c>
      <c r="I24" s="4" t="s">
        <v>232</v>
      </c>
      <c r="J24" s="44" t="s">
        <v>213</v>
      </c>
      <c r="K24" s="44">
        <v>24.5</v>
      </c>
      <c r="L24" s="44">
        <v>21.5</v>
      </c>
      <c r="M24" s="10">
        <v>1.9100000000000001</v>
      </c>
      <c r="N24" s="10">
        <v>15.759162303664837</v>
      </c>
      <c r="O24" s="40">
        <v>2.7</v>
      </c>
      <c r="P24" s="42"/>
      <c r="Q24" s="42"/>
      <c r="R24" s="6"/>
      <c r="S24" s="30"/>
      <c r="T24" s="38">
        <v>0.52104413518034531</v>
      </c>
      <c r="U24" s="38">
        <v>0.23249414142127584</v>
      </c>
      <c r="V24" s="39">
        <v>0.7867833673581075</v>
      </c>
      <c r="W24" s="39">
        <v>1.0399231592423037</v>
      </c>
      <c r="X24" s="39">
        <v>4.9482742401391668</v>
      </c>
      <c r="Y24" s="39">
        <v>1.0884666412989548</v>
      </c>
      <c r="Z24" s="39">
        <v>3.2356345018176529</v>
      </c>
      <c r="AA24" s="39">
        <v>3.9860774375266872</v>
      </c>
      <c r="AB24" s="39">
        <v>1.6747810336386806</v>
      </c>
      <c r="AC24" s="39">
        <v>1.0201524858046165</v>
      </c>
      <c r="AD24" s="39">
        <v>10.974692111954202</v>
      </c>
      <c r="AE24" s="39">
        <v>5.0156142905294701</v>
      </c>
      <c r="AF24" s="39">
        <v>19.902745308207024</v>
      </c>
      <c r="AG24" s="39">
        <v>0.50793792452710607</v>
      </c>
      <c r="AH24" s="39">
        <v>2.3911449921821974</v>
      </c>
      <c r="AI24" s="39">
        <v>5.3552606748630351</v>
      </c>
      <c r="AJ24" s="39">
        <v>7.4710979596892226</v>
      </c>
      <c r="AK24" s="39">
        <v>1.0555723221586806</v>
      </c>
      <c r="AL24" s="530">
        <v>0</v>
      </c>
      <c r="AM24" s="47">
        <v>0</v>
      </c>
      <c r="AN24" s="47">
        <v>0</v>
      </c>
      <c r="AO24" s="47">
        <v>0</v>
      </c>
      <c r="AP24" s="47">
        <v>0.77339743589743604</v>
      </c>
      <c r="AQ24" s="47">
        <v>1.3507673453996984</v>
      </c>
      <c r="AR24" s="47">
        <v>0.53651175213675206</v>
      </c>
      <c r="AS24" s="47">
        <v>0</v>
      </c>
      <c r="AT24" s="47">
        <v>0</v>
      </c>
      <c r="AU24" s="47">
        <v>0</v>
      </c>
      <c r="AV24" s="47">
        <v>0.60262443438914037</v>
      </c>
      <c r="AW24" s="47">
        <v>0</v>
      </c>
      <c r="AX24" s="47">
        <v>0</v>
      </c>
      <c r="AY24" s="47">
        <v>0.14676282051282052</v>
      </c>
      <c r="AZ24" s="47">
        <v>0</v>
      </c>
      <c r="BA24" s="47">
        <v>0</v>
      </c>
      <c r="BB24" s="47">
        <v>0</v>
      </c>
      <c r="BC24" s="47">
        <v>11.309191176470588</v>
      </c>
      <c r="BD24" s="47">
        <v>0</v>
      </c>
      <c r="BE24" s="47">
        <v>0</v>
      </c>
      <c r="BF24" s="47">
        <v>0</v>
      </c>
      <c r="BG24" s="47">
        <v>0</v>
      </c>
      <c r="BH24" s="47">
        <v>0</v>
      </c>
      <c r="BI24" s="47">
        <v>0</v>
      </c>
      <c r="BJ24" s="47">
        <v>0</v>
      </c>
      <c r="BK24" s="47">
        <v>0</v>
      </c>
      <c r="BL24" s="47">
        <v>0</v>
      </c>
      <c r="BM24" s="47">
        <v>0</v>
      </c>
      <c r="BN24" s="47">
        <v>0</v>
      </c>
    </row>
    <row r="25" spans="1:66" x14ac:dyDescent="0.3">
      <c r="A25" s="537">
        <v>2018</v>
      </c>
      <c r="B25" s="538">
        <v>43419</v>
      </c>
      <c r="C25" s="538" t="s">
        <v>1719</v>
      </c>
      <c r="D25" s="538" t="s">
        <v>3</v>
      </c>
      <c r="E25" s="537" t="s">
        <v>246</v>
      </c>
      <c r="F25" s="537" t="s">
        <v>197</v>
      </c>
      <c r="G25" s="537">
        <v>2016</v>
      </c>
      <c r="H25" s="4" t="s">
        <v>248</v>
      </c>
      <c r="I25" s="4" t="s">
        <v>233</v>
      </c>
      <c r="J25" s="44" t="s">
        <v>213</v>
      </c>
      <c r="K25" s="44">
        <v>24.8</v>
      </c>
      <c r="L25" s="44">
        <v>21.8</v>
      </c>
      <c r="M25" s="10">
        <v>1.1509999999999998</v>
      </c>
      <c r="N25" s="10">
        <v>13.119026933101635</v>
      </c>
      <c r="O25" s="40">
        <v>3.3</v>
      </c>
      <c r="P25" s="42"/>
      <c r="Q25" s="42"/>
      <c r="R25" s="6"/>
      <c r="S25" s="30"/>
      <c r="T25" s="38">
        <v>0.36948834700913369</v>
      </c>
      <c r="U25" s="38">
        <v>0.32394799757779774</v>
      </c>
      <c r="V25" s="39">
        <v>2.1457172825947231</v>
      </c>
      <c r="W25" s="39">
        <v>1.7482841077748503</v>
      </c>
      <c r="X25" s="39">
        <v>6.5123397099343876</v>
      </c>
      <c r="Y25" s="39">
        <v>1.4921311407783067</v>
      </c>
      <c r="Z25" s="39">
        <v>5.5660521501544951</v>
      </c>
      <c r="AA25" s="39">
        <v>5.6388991069194976</v>
      </c>
      <c r="AB25" s="39">
        <v>2.0642729063830174</v>
      </c>
      <c r="AC25" s="39">
        <v>1.6286825577435502</v>
      </c>
      <c r="AD25" s="39">
        <v>13.885104297172411</v>
      </c>
      <c r="AE25" s="39">
        <v>7.7582645982721319</v>
      </c>
      <c r="AF25" s="39">
        <v>22.273475365487954</v>
      </c>
      <c r="AG25" s="39">
        <v>0.26152287934154383</v>
      </c>
      <c r="AH25" s="39">
        <v>1.5893657129273751</v>
      </c>
      <c r="AI25" s="39">
        <v>2.8319429354259542</v>
      </c>
      <c r="AJ25" s="39">
        <v>8.1113481622025247</v>
      </c>
      <c r="AK25" s="39">
        <v>0.75187707882439136</v>
      </c>
    </row>
    <row r="26" spans="1:66" x14ac:dyDescent="0.3">
      <c r="A26" s="537">
        <v>2018</v>
      </c>
      <c r="B26" s="538">
        <v>43419</v>
      </c>
      <c r="C26" s="538" t="s">
        <v>1719</v>
      </c>
      <c r="D26" s="538" t="s">
        <v>3</v>
      </c>
      <c r="E26" s="537" t="s">
        <v>246</v>
      </c>
      <c r="F26" s="537" t="s">
        <v>197</v>
      </c>
      <c r="G26" s="537">
        <v>2016</v>
      </c>
      <c r="H26" s="4" t="s">
        <v>248</v>
      </c>
      <c r="I26" s="4" t="s">
        <v>237</v>
      </c>
      <c r="J26" s="44" t="s">
        <v>213</v>
      </c>
      <c r="K26" s="44">
        <v>27.2</v>
      </c>
      <c r="L26" s="44">
        <v>24</v>
      </c>
      <c r="M26" s="10">
        <v>2.8260000000000005</v>
      </c>
      <c r="N26" s="10">
        <v>16.10049539985852</v>
      </c>
      <c r="O26" s="40">
        <v>7.5</v>
      </c>
      <c r="P26" s="42"/>
      <c r="Q26" s="42"/>
      <c r="R26" s="6"/>
      <c r="T26" s="38">
        <v>0.52248424004670813</v>
      </c>
      <c r="U26" s="38">
        <v>2.3397920850891287</v>
      </c>
      <c r="V26" s="39">
        <v>5.611171666792111</v>
      </c>
      <c r="W26" s="39">
        <v>9.6568324571422899</v>
      </c>
      <c r="X26" s="39">
        <v>27.051973514877879</v>
      </c>
      <c r="Y26" s="39">
        <v>4.8279464811938464</v>
      </c>
      <c r="Z26" s="39">
        <v>24.146817285177875</v>
      </c>
      <c r="AA26" s="39">
        <v>25.813777974793457</v>
      </c>
      <c r="AB26" s="39">
        <v>7.6648290742432259</v>
      </c>
      <c r="AC26" s="39">
        <v>6.6331332568127861</v>
      </c>
      <c r="AD26" s="39">
        <v>48.520879033117211</v>
      </c>
      <c r="AE26" s="39">
        <v>29.029118620189998</v>
      </c>
      <c r="AF26" s="39">
        <v>79.292911068220349</v>
      </c>
      <c r="AG26" s="39">
        <v>1.8764116923189942</v>
      </c>
      <c r="AH26" s="39">
        <v>7.3255104399641047</v>
      </c>
      <c r="AI26" s="39">
        <v>11.777384980430806</v>
      </c>
      <c r="AJ26" s="39">
        <v>26.643021614464011</v>
      </c>
      <c r="AK26" s="39">
        <v>3.2994120781958496</v>
      </c>
      <c r="AL26" s="530">
        <v>0</v>
      </c>
      <c r="AM26" s="47">
        <v>0</v>
      </c>
      <c r="AN26" s="47">
        <v>0</v>
      </c>
      <c r="AO26" s="47">
        <v>0</v>
      </c>
      <c r="AP26" s="47">
        <v>0.86963562753036427</v>
      </c>
      <c r="AQ26" s="47">
        <v>1.1152679209335554</v>
      </c>
      <c r="AR26" s="47">
        <v>0.38969057258530937</v>
      </c>
      <c r="AS26" s="47">
        <v>0.51437246963562744</v>
      </c>
      <c r="AT26" s="47">
        <v>0</v>
      </c>
      <c r="AU26" s="47">
        <v>0</v>
      </c>
      <c r="AV26" s="47">
        <v>0.60790426291974275</v>
      </c>
      <c r="AW26" s="47">
        <v>0</v>
      </c>
      <c r="AX26" s="47">
        <v>0</v>
      </c>
      <c r="AY26" s="47">
        <v>0</v>
      </c>
      <c r="AZ26" s="47">
        <v>0</v>
      </c>
      <c r="BA26" s="47">
        <v>0</v>
      </c>
      <c r="BB26" s="47">
        <v>0</v>
      </c>
      <c r="BC26" s="47">
        <v>15.266722348858567</v>
      </c>
      <c r="BD26" s="47">
        <v>1.5430582111387061</v>
      </c>
      <c r="BE26" s="47">
        <v>0</v>
      </c>
      <c r="BF26" s="47">
        <v>0</v>
      </c>
      <c r="BG26" s="47">
        <v>0</v>
      </c>
      <c r="BH26" s="47">
        <v>0</v>
      </c>
      <c r="BI26" s="47">
        <v>7.9959514170040477E-2</v>
      </c>
      <c r="BJ26" s="47">
        <v>0</v>
      </c>
      <c r="BK26" s="47">
        <v>0</v>
      </c>
      <c r="BL26" s="47">
        <v>0</v>
      </c>
      <c r="BM26" s="47">
        <v>0</v>
      </c>
      <c r="BN26" s="47">
        <v>0</v>
      </c>
    </row>
    <row r="27" spans="1:66" x14ac:dyDescent="0.3">
      <c r="A27" s="537">
        <v>2018</v>
      </c>
      <c r="B27" s="538">
        <v>43419</v>
      </c>
      <c r="C27" s="538" t="s">
        <v>1719</v>
      </c>
      <c r="D27" s="538" t="s">
        <v>3</v>
      </c>
      <c r="E27" s="537" t="s">
        <v>246</v>
      </c>
      <c r="F27" s="537" t="s">
        <v>197</v>
      </c>
      <c r="G27" s="537">
        <v>2016</v>
      </c>
      <c r="H27" s="4" t="s">
        <v>248</v>
      </c>
      <c r="I27" s="4" t="s">
        <v>234</v>
      </c>
      <c r="J27" s="44" t="s">
        <v>213</v>
      </c>
      <c r="K27" s="44">
        <v>25</v>
      </c>
      <c r="L27" s="44">
        <v>22.5</v>
      </c>
      <c r="M27" s="10">
        <v>0.92899999999999849</v>
      </c>
      <c r="N27" s="10">
        <v>15.931108719052736</v>
      </c>
      <c r="P27" s="42"/>
      <c r="Q27" s="42"/>
      <c r="R27" s="6"/>
      <c r="S27" s="30"/>
      <c r="AL27" s="530">
        <v>0</v>
      </c>
      <c r="AM27" s="47">
        <v>0</v>
      </c>
      <c r="AN27" s="47">
        <v>0</v>
      </c>
      <c r="AO27" s="47">
        <v>0</v>
      </c>
      <c r="AP27" s="47">
        <v>0.45918732430360343</v>
      </c>
      <c r="AQ27" s="47">
        <v>1.0156383698380964</v>
      </c>
      <c r="AR27" s="47">
        <v>0.37390748786097622</v>
      </c>
      <c r="AS27" s="47">
        <v>0.4338359315103501</v>
      </c>
      <c r="AT27" s="47">
        <v>0</v>
      </c>
      <c r="AU27" s="47">
        <v>0</v>
      </c>
      <c r="AV27" s="47">
        <v>0</v>
      </c>
      <c r="AW27" s="47">
        <v>0</v>
      </c>
      <c r="AX27" s="47">
        <v>0</v>
      </c>
      <c r="AY27" s="47">
        <v>0</v>
      </c>
      <c r="AZ27" s="47">
        <v>0</v>
      </c>
      <c r="BA27" s="47">
        <v>0</v>
      </c>
      <c r="BB27" s="47">
        <v>0</v>
      </c>
      <c r="BC27" s="47">
        <v>4.1804374558410125</v>
      </c>
      <c r="BD27" s="47">
        <v>0</v>
      </c>
      <c r="BE27" s="47">
        <v>0</v>
      </c>
      <c r="BF27" s="47">
        <v>0</v>
      </c>
      <c r="BG27" s="47">
        <v>0</v>
      </c>
      <c r="BH27" s="47">
        <v>0</v>
      </c>
      <c r="BI27" s="47">
        <v>0</v>
      </c>
      <c r="BJ27" s="47">
        <v>0</v>
      </c>
      <c r="BK27" s="47">
        <v>0</v>
      </c>
      <c r="BL27" s="47">
        <v>0</v>
      </c>
      <c r="BM27" s="47">
        <v>0</v>
      </c>
      <c r="BN27" s="47">
        <v>0</v>
      </c>
    </row>
    <row r="28" spans="1:66" x14ac:dyDescent="0.3">
      <c r="A28" s="537">
        <v>2018</v>
      </c>
      <c r="B28" s="538">
        <v>43419</v>
      </c>
      <c r="C28" s="538" t="s">
        <v>1719</v>
      </c>
      <c r="D28" s="538" t="s">
        <v>3</v>
      </c>
      <c r="E28" s="537" t="s">
        <v>246</v>
      </c>
      <c r="F28" s="537" t="s">
        <v>197</v>
      </c>
      <c r="G28" s="537">
        <v>2016</v>
      </c>
      <c r="H28" s="4" t="s">
        <v>248</v>
      </c>
      <c r="I28" s="4" t="s">
        <v>235</v>
      </c>
      <c r="J28" s="44" t="s">
        <v>213</v>
      </c>
      <c r="K28" s="44">
        <v>25.5</v>
      </c>
      <c r="L28" s="44">
        <v>22.7</v>
      </c>
      <c r="M28" s="10">
        <v>1.4830000000000005</v>
      </c>
      <c r="N28" s="10">
        <v>15.913688469318988</v>
      </c>
      <c r="O28" s="40">
        <v>2.4</v>
      </c>
      <c r="P28" s="42"/>
      <c r="Q28" s="42"/>
      <c r="R28" s="6"/>
      <c r="T28" s="38">
        <v>0.19991542984181357</v>
      </c>
      <c r="U28" s="38">
        <v>0.14141516603665719</v>
      </c>
      <c r="V28" s="39">
        <v>0.43867276298634689</v>
      </c>
      <c r="W28" s="39">
        <v>1.0478228222440369</v>
      </c>
      <c r="X28" s="39">
        <v>4.6550341227845546</v>
      </c>
      <c r="Y28" s="39">
        <v>1.1648036761376095</v>
      </c>
      <c r="Z28" s="39">
        <v>3.192893357540274</v>
      </c>
      <c r="AA28" s="39">
        <v>5.8500775821311262</v>
      </c>
      <c r="AB28" s="39">
        <v>2.1706723140064605</v>
      </c>
      <c r="AC28" s="39">
        <v>1.280334942229524</v>
      </c>
      <c r="AD28" s="39">
        <v>13.602279962809728</v>
      </c>
      <c r="AE28" s="39">
        <v>5.6602431986471817</v>
      </c>
      <c r="AF28" s="39">
        <v>22.638940003380412</v>
      </c>
      <c r="AG28" s="39">
        <v>0.28554374362491869</v>
      </c>
      <c r="AH28" s="39">
        <v>2.6304255142255535</v>
      </c>
      <c r="AI28" s="39">
        <v>4.8387430400248537</v>
      </c>
      <c r="AJ28" s="39">
        <v>9.2724756244008368</v>
      </c>
      <c r="AK28" s="39">
        <v>1.0106364731554018</v>
      </c>
    </row>
    <row r="29" spans="1:66" x14ac:dyDescent="0.3">
      <c r="A29" s="537">
        <v>2018</v>
      </c>
      <c r="B29" s="538">
        <v>43419</v>
      </c>
      <c r="C29" s="538" t="s">
        <v>1719</v>
      </c>
      <c r="D29" s="538" t="s">
        <v>3</v>
      </c>
      <c r="E29" s="537" t="s">
        <v>246</v>
      </c>
      <c r="F29" s="537" t="s">
        <v>197</v>
      </c>
      <c r="G29" s="537">
        <v>2016</v>
      </c>
      <c r="H29" s="4" t="s">
        <v>248</v>
      </c>
      <c r="I29" s="4" t="s">
        <v>242</v>
      </c>
      <c r="J29" s="44" t="s">
        <v>213</v>
      </c>
      <c r="K29" s="44">
        <v>28.5</v>
      </c>
      <c r="L29" s="44">
        <v>24.5</v>
      </c>
      <c r="M29" s="10">
        <v>2.9570000000000007</v>
      </c>
      <c r="N29" s="10">
        <v>16.334122421373028</v>
      </c>
      <c r="O29" s="40">
        <v>5.7</v>
      </c>
      <c r="P29" s="529">
        <v>26.217944957561159</v>
      </c>
      <c r="Q29" s="33">
        <v>11.23025535601557</v>
      </c>
      <c r="R29" s="33">
        <v>44.154302379583413</v>
      </c>
      <c r="T29" s="38">
        <v>0.45154583992980279</v>
      </c>
      <c r="U29" s="38">
        <v>0.77183344446228763</v>
      </c>
      <c r="V29" s="39">
        <v>2.8862695604042425</v>
      </c>
      <c r="W29" s="39">
        <v>4.3764076542178589</v>
      </c>
      <c r="X29" s="39">
        <v>16.544256850106599</v>
      </c>
      <c r="Y29" s="39">
        <v>3.243904962423203</v>
      </c>
      <c r="Z29" s="39">
        <v>13.53477999698695</v>
      </c>
      <c r="AA29" s="39">
        <v>14.811148283916836</v>
      </c>
      <c r="AB29" s="39">
        <v>4.9880644855292005</v>
      </c>
      <c r="AC29" s="39">
        <v>3.0653315868493287</v>
      </c>
      <c r="AD29" s="39">
        <v>29.569734933389469</v>
      </c>
      <c r="AE29" s="39">
        <v>18.001311873345976</v>
      </c>
      <c r="AF29" s="39">
        <v>46.389005467728452</v>
      </c>
      <c r="AG29" s="39">
        <v>1.0490856184296304</v>
      </c>
      <c r="AH29" s="39">
        <v>4.0271699629558997</v>
      </c>
      <c r="AI29" s="39">
        <v>6.7874318603140154</v>
      </c>
      <c r="AJ29" s="39">
        <v>15.908258772173749</v>
      </c>
      <c r="AK29" s="39">
        <v>1.2325711698264974</v>
      </c>
    </row>
    <row r="30" spans="1:66" x14ac:dyDescent="0.3">
      <c r="A30" s="537">
        <v>2018</v>
      </c>
      <c r="B30" s="538">
        <v>43419</v>
      </c>
      <c r="C30" s="538" t="s">
        <v>1719</v>
      </c>
      <c r="D30" s="538" t="s">
        <v>3</v>
      </c>
      <c r="E30" s="537" t="s">
        <v>246</v>
      </c>
      <c r="F30" s="537" t="s">
        <v>197</v>
      </c>
      <c r="G30" s="537">
        <v>2016</v>
      </c>
      <c r="H30" s="4" t="s">
        <v>248</v>
      </c>
      <c r="I30" s="4" t="s">
        <v>241</v>
      </c>
      <c r="J30" s="44" t="s">
        <v>213</v>
      </c>
      <c r="K30" s="44">
        <v>28</v>
      </c>
      <c r="L30" s="44">
        <v>24.8</v>
      </c>
      <c r="M30" s="10">
        <v>5.1879999999999988</v>
      </c>
      <c r="N30" s="10">
        <v>18.369313801079407</v>
      </c>
      <c r="O30" s="40">
        <v>11.5</v>
      </c>
      <c r="P30" s="529">
        <v>58.30981082477728</v>
      </c>
      <c r="Q30" s="33">
        <v>5.8049348107855137</v>
      </c>
      <c r="R30" s="33">
        <v>22.823421089164949</v>
      </c>
      <c r="T30" s="38">
        <v>0.94200990726531508</v>
      </c>
      <c r="U30" s="38">
        <v>1.2401409792472382</v>
      </c>
      <c r="V30" s="39">
        <v>3.6209390710381451</v>
      </c>
      <c r="W30" s="39">
        <v>6.4734440489191458</v>
      </c>
      <c r="X30" s="39">
        <v>17.251249038427794</v>
      </c>
      <c r="Y30" s="39">
        <v>4.8215951539900797</v>
      </c>
      <c r="Z30" s="39">
        <v>16.501405794776659</v>
      </c>
      <c r="AA30" s="39">
        <v>19.827024089095797</v>
      </c>
      <c r="AB30" s="39">
        <v>6.5759555214885079</v>
      </c>
      <c r="AC30" s="39">
        <v>4.9975232932179292</v>
      </c>
      <c r="AD30" s="39">
        <v>40.281929424423268</v>
      </c>
      <c r="AE30" s="39">
        <v>26.211517576272907</v>
      </c>
      <c r="AF30" s="39">
        <v>68.779291714490995</v>
      </c>
      <c r="AG30" s="39">
        <v>2.0758402998310976</v>
      </c>
      <c r="AH30" s="39">
        <v>9.1269575629980295</v>
      </c>
      <c r="AI30" s="39">
        <v>12.138792519719477</v>
      </c>
      <c r="AJ30" s="39">
        <v>22.972442612243256</v>
      </c>
      <c r="AK30" s="39">
        <v>3.3667332679109565</v>
      </c>
      <c r="AL30" s="530">
        <v>0</v>
      </c>
      <c r="AM30" s="47">
        <v>0</v>
      </c>
      <c r="AN30" s="47">
        <v>0</v>
      </c>
      <c r="AO30" s="47">
        <v>1.9432610269988917</v>
      </c>
      <c r="AP30" s="47">
        <v>2.625653472740852</v>
      </c>
      <c r="AQ30" s="47">
        <v>1.7815885428107019</v>
      </c>
      <c r="AR30" s="47">
        <v>0.84713094349016693</v>
      </c>
      <c r="AS30" s="47">
        <v>0.72951829723674388</v>
      </c>
      <c r="AT30" s="47">
        <v>0.11712098581030621</v>
      </c>
      <c r="AU30" s="47">
        <v>0.74789021657953703</v>
      </c>
      <c r="AV30" s="47">
        <v>0.82912182049817684</v>
      </c>
      <c r="AW30" s="47">
        <v>0</v>
      </c>
      <c r="AX30" s="47">
        <v>0</v>
      </c>
      <c r="AY30" s="47">
        <v>0</v>
      </c>
      <c r="AZ30" s="47">
        <v>0</v>
      </c>
      <c r="BA30" s="47">
        <v>0</v>
      </c>
      <c r="BB30" s="47">
        <v>0</v>
      </c>
      <c r="BC30" s="47">
        <v>24.848292184685675</v>
      </c>
      <c r="BD30" s="47">
        <v>1.6062206211834997</v>
      </c>
      <c r="BE30" s="47">
        <v>0</v>
      </c>
      <c r="BF30" s="47">
        <v>0</v>
      </c>
      <c r="BG30" s="47">
        <v>0</v>
      </c>
      <c r="BH30" s="47">
        <v>0</v>
      </c>
      <c r="BI30" s="47">
        <v>0</v>
      </c>
      <c r="BJ30" s="47">
        <v>0</v>
      </c>
      <c r="BK30" s="47">
        <v>0</v>
      </c>
      <c r="BL30" s="47">
        <v>0</v>
      </c>
      <c r="BM30" s="47">
        <v>0</v>
      </c>
      <c r="BN30" s="47">
        <v>0</v>
      </c>
    </row>
    <row r="31" spans="1:66" x14ac:dyDescent="0.3">
      <c r="A31" s="537">
        <v>2018</v>
      </c>
      <c r="B31" s="538">
        <v>43419</v>
      </c>
      <c r="C31" s="538" t="s">
        <v>1719</v>
      </c>
      <c r="D31" s="538" t="s">
        <v>3</v>
      </c>
      <c r="E31" s="537" t="s">
        <v>246</v>
      </c>
      <c r="F31" s="537" t="s">
        <v>197</v>
      </c>
      <c r="G31" s="537">
        <v>2016</v>
      </c>
      <c r="H31" s="4" t="s">
        <v>248</v>
      </c>
      <c r="I31" s="4" t="s">
        <v>238</v>
      </c>
      <c r="J31" s="44" t="s">
        <v>213</v>
      </c>
      <c r="K31" s="44">
        <v>27.5</v>
      </c>
      <c r="L31" s="44">
        <v>24.5</v>
      </c>
      <c r="M31" s="10">
        <v>3.5559999999999974</v>
      </c>
      <c r="N31" s="10">
        <v>17.716535433070852</v>
      </c>
      <c r="O31" s="40">
        <v>13.2</v>
      </c>
      <c r="P31" s="529">
        <v>176.31478880936734</v>
      </c>
      <c r="Q31" s="33">
        <v>10.711377984486107</v>
      </c>
      <c r="R31" s="33">
        <v>73.667334822712732</v>
      </c>
      <c r="T31" s="38">
        <v>0.9597090840643997</v>
      </c>
      <c r="U31" s="38">
        <v>9.0333464925917184</v>
      </c>
      <c r="V31" s="39">
        <v>15.3775579175805</v>
      </c>
      <c r="W31" s="39">
        <v>28.490826741098388</v>
      </c>
      <c r="X31" s="39">
        <v>97.424627699880858</v>
      </c>
      <c r="Y31" s="39">
        <v>13.897962173220369</v>
      </c>
      <c r="Z31" s="39">
        <v>80.581434206908284</v>
      </c>
      <c r="AA31" s="39">
        <v>78.729020934848819</v>
      </c>
      <c r="AB31" s="39">
        <v>22.085477701429763</v>
      </c>
      <c r="AC31" s="39">
        <v>20.887075520485535</v>
      </c>
      <c r="AD31" s="39">
        <v>136.08263361853375</v>
      </c>
      <c r="AE31" s="39">
        <v>90.600301924178311</v>
      </c>
      <c r="AF31" s="39">
        <v>240.23613434302362</v>
      </c>
      <c r="AG31" s="39">
        <v>6.3732306267753831</v>
      </c>
      <c r="AH31" s="39">
        <v>23.803536194948606</v>
      </c>
      <c r="AI31" s="39">
        <v>45.993073721313415</v>
      </c>
      <c r="AJ31" s="39">
        <v>59.577893746058166</v>
      </c>
      <c r="AK31" s="39">
        <v>4.781911794759278</v>
      </c>
      <c r="AL31" s="530">
        <v>0</v>
      </c>
      <c r="AM31" s="47">
        <v>0</v>
      </c>
      <c r="AN31" s="47">
        <v>0</v>
      </c>
      <c r="AO31" s="47">
        <v>0</v>
      </c>
      <c r="AP31" s="47">
        <v>0.23815022358068719</v>
      </c>
      <c r="AQ31" s="47">
        <v>0.69909801923826098</v>
      </c>
      <c r="AR31" s="47">
        <v>0.44280862625233491</v>
      </c>
      <c r="AS31" s="47">
        <v>0.68545310465840281</v>
      </c>
      <c r="AT31" s="47">
        <v>0.14683873889171906</v>
      </c>
      <c r="AU31" s="47">
        <v>0.81439972830701324</v>
      </c>
      <c r="AV31" s="47">
        <v>0</v>
      </c>
      <c r="AW31" s="47">
        <v>0</v>
      </c>
      <c r="AX31" s="47">
        <v>0</v>
      </c>
      <c r="AY31" s="47">
        <v>0</v>
      </c>
      <c r="AZ31" s="47">
        <v>0</v>
      </c>
      <c r="BA31" s="47">
        <v>0</v>
      </c>
      <c r="BB31" s="47">
        <v>0</v>
      </c>
      <c r="BC31" s="47">
        <v>15.628870709431679</v>
      </c>
      <c r="BD31" s="47">
        <v>1.3094896100739499</v>
      </c>
      <c r="BE31" s="47">
        <v>0</v>
      </c>
      <c r="BF31" s="47">
        <v>0</v>
      </c>
      <c r="BG31" s="47">
        <v>0</v>
      </c>
      <c r="BH31" s="47">
        <v>0</v>
      </c>
      <c r="BI31" s="47">
        <v>0</v>
      </c>
      <c r="BJ31" s="47">
        <v>0</v>
      </c>
      <c r="BK31" s="47">
        <v>0</v>
      </c>
      <c r="BL31" s="47">
        <v>0</v>
      </c>
      <c r="BM31" s="47">
        <v>0</v>
      </c>
      <c r="BN31" s="47">
        <v>0</v>
      </c>
    </row>
    <row r="32" spans="1:66" x14ac:dyDescent="0.3">
      <c r="A32" s="537">
        <v>2018</v>
      </c>
      <c r="B32" s="538">
        <v>43419</v>
      </c>
      <c r="C32" s="538" t="s">
        <v>1719</v>
      </c>
      <c r="D32" s="538" t="s">
        <v>3</v>
      </c>
      <c r="E32" s="537" t="s">
        <v>246</v>
      </c>
      <c r="F32" s="537" t="s">
        <v>197</v>
      </c>
      <c r="G32" s="537">
        <v>2016</v>
      </c>
      <c r="H32" s="4" t="s">
        <v>248</v>
      </c>
      <c r="I32" s="4" t="s">
        <v>236</v>
      </c>
      <c r="J32" s="44" t="s">
        <v>213</v>
      </c>
      <c r="K32" s="44">
        <v>26</v>
      </c>
      <c r="L32" s="44">
        <v>22.5</v>
      </c>
      <c r="M32" s="10">
        <v>1.347999999999999</v>
      </c>
      <c r="N32" s="10">
        <v>13.649851632047302</v>
      </c>
      <c r="P32" s="42"/>
      <c r="Q32" s="42"/>
      <c r="R32" s="6"/>
      <c r="S32" s="30"/>
      <c r="AL32" s="530">
        <v>0</v>
      </c>
      <c r="AM32" s="47">
        <v>0</v>
      </c>
      <c r="AN32" s="47">
        <v>0</v>
      </c>
      <c r="AO32" s="47">
        <v>2.9287100731967648</v>
      </c>
      <c r="AP32" s="47">
        <v>2.4261062131784561</v>
      </c>
      <c r="AQ32" s="47">
        <v>2.0674785737635206</v>
      </c>
      <c r="AR32" s="47">
        <v>0.98727698157355936</v>
      </c>
      <c r="AS32" s="47">
        <v>1.0086282538754021</v>
      </c>
      <c r="AT32" s="47">
        <v>0.31914093511051683</v>
      </c>
      <c r="AU32" s="47">
        <v>0</v>
      </c>
      <c r="AV32" s="47">
        <v>0</v>
      </c>
      <c r="AW32" s="47">
        <v>0</v>
      </c>
      <c r="AX32" s="47">
        <v>0</v>
      </c>
      <c r="AY32" s="47">
        <v>0</v>
      </c>
      <c r="AZ32" s="47">
        <v>0</v>
      </c>
      <c r="BA32" s="47">
        <v>0</v>
      </c>
      <c r="BB32" s="47">
        <v>0</v>
      </c>
      <c r="BC32" s="47">
        <v>13.516912164105184</v>
      </c>
      <c r="BD32" s="47">
        <v>0.81303860532221062</v>
      </c>
      <c r="BE32" s="47">
        <v>0</v>
      </c>
      <c r="BF32" s="47">
        <v>0</v>
      </c>
      <c r="BG32" s="47">
        <v>0</v>
      </c>
      <c r="BH32" s="47">
        <v>0</v>
      </c>
      <c r="BI32" s="47">
        <v>0</v>
      </c>
      <c r="BJ32" s="47">
        <v>0</v>
      </c>
      <c r="BK32" s="47">
        <v>0</v>
      </c>
      <c r="BL32" s="47">
        <v>0</v>
      </c>
      <c r="BM32" s="47">
        <v>0</v>
      </c>
      <c r="BN32" s="47">
        <v>0</v>
      </c>
    </row>
    <row r="33" spans="1:66" x14ac:dyDescent="0.3">
      <c r="A33" s="537">
        <v>2018</v>
      </c>
      <c r="B33" s="538">
        <v>43419</v>
      </c>
      <c r="C33" s="538" t="s">
        <v>1719</v>
      </c>
      <c r="D33" s="538" t="s">
        <v>3</v>
      </c>
      <c r="E33" s="537" t="s">
        <v>246</v>
      </c>
      <c r="F33" s="537" t="s">
        <v>197</v>
      </c>
      <c r="G33" s="537">
        <v>2016</v>
      </c>
      <c r="H33" s="4" t="s">
        <v>248</v>
      </c>
      <c r="I33" s="4" t="s">
        <v>239</v>
      </c>
      <c r="J33" s="44" t="s">
        <v>213</v>
      </c>
      <c r="K33" s="44">
        <v>27.5</v>
      </c>
      <c r="L33" s="44">
        <v>24</v>
      </c>
      <c r="M33" s="10">
        <v>3.666999999999998</v>
      </c>
      <c r="N33" s="10">
        <v>17.998363785110456</v>
      </c>
      <c r="O33" s="40">
        <v>12.9</v>
      </c>
      <c r="P33" s="529">
        <v>55.140352210535937</v>
      </c>
      <c r="Q33" s="33">
        <v>10.060410261672034</v>
      </c>
      <c r="R33" s="33">
        <v>69.190314474371078</v>
      </c>
      <c r="T33" s="38">
        <v>1.476976001825028</v>
      </c>
      <c r="U33" s="38">
        <v>2.4026934254775814</v>
      </c>
      <c r="V33" s="39">
        <v>5.8680523587024043</v>
      </c>
      <c r="W33" s="39">
        <v>10.085142182873824</v>
      </c>
      <c r="X33" s="41">
        <v>31.595272727054606</v>
      </c>
      <c r="Y33" s="39">
        <v>6.7789696391288041</v>
      </c>
      <c r="Z33" s="39">
        <v>25.140723674276224</v>
      </c>
      <c r="AA33" s="39">
        <v>36.913605397747872</v>
      </c>
      <c r="AB33" s="39">
        <v>9.632580568720396</v>
      </c>
      <c r="AC33" s="39">
        <v>6.7406129691635073</v>
      </c>
      <c r="AD33" s="39">
        <v>67.097439586041389</v>
      </c>
      <c r="AE33" s="39">
        <v>34.208647761006461</v>
      </c>
      <c r="AF33" s="39">
        <v>111.44566337963238</v>
      </c>
      <c r="AG33" s="39">
        <v>2.3201561542002258</v>
      </c>
      <c r="AH33" s="39">
        <v>9.0284492706753134</v>
      </c>
      <c r="AI33" s="39">
        <v>13.345981898921391</v>
      </c>
      <c r="AJ33" s="39">
        <v>36.860489544349107</v>
      </c>
      <c r="AK33" s="39">
        <v>2.7519131715650715</v>
      </c>
      <c r="AL33" s="530">
        <v>0</v>
      </c>
      <c r="AM33" s="47">
        <v>0</v>
      </c>
      <c r="AN33" s="47">
        <v>0</v>
      </c>
      <c r="AO33" s="47">
        <v>1.932751135120804</v>
      </c>
      <c r="AP33" s="47">
        <v>3.643674808603719</v>
      </c>
      <c r="AQ33" s="47">
        <v>2.4662756535352024</v>
      </c>
      <c r="AR33" s="47">
        <v>1.3381638109126266</v>
      </c>
      <c r="AS33" s="47">
        <v>1.2547089561307572</v>
      </c>
      <c r="AT33" s="47">
        <v>0.22154575282537373</v>
      </c>
      <c r="AU33" s="47">
        <v>0</v>
      </c>
      <c r="AV33" s="47">
        <v>1.0466234908108343</v>
      </c>
      <c r="AW33" s="47">
        <v>0</v>
      </c>
      <c r="AX33" s="47">
        <v>0</v>
      </c>
      <c r="AY33" s="47">
        <v>0</v>
      </c>
      <c r="AZ33" s="47">
        <v>0</v>
      </c>
      <c r="BA33" s="47">
        <v>0</v>
      </c>
      <c r="BB33" s="47">
        <v>0</v>
      </c>
      <c r="BC33" s="47">
        <v>38.170328036427847</v>
      </c>
      <c r="BD33" s="47">
        <v>2.5451059023682396</v>
      </c>
      <c r="BE33" s="47">
        <v>0.24592295540162842</v>
      </c>
      <c r="BF33" s="47">
        <v>0</v>
      </c>
      <c r="BG33" s="47">
        <v>0</v>
      </c>
      <c r="BH33" s="47">
        <v>0</v>
      </c>
      <c r="BI33" s="47">
        <v>0</v>
      </c>
      <c r="BJ33" s="47">
        <v>0</v>
      </c>
      <c r="BK33" s="47">
        <v>0</v>
      </c>
      <c r="BL33" s="47">
        <v>0</v>
      </c>
      <c r="BM33" s="47">
        <v>0</v>
      </c>
      <c r="BN33" s="47">
        <v>0</v>
      </c>
    </row>
    <row r="34" spans="1:66" x14ac:dyDescent="0.3">
      <c r="A34" s="537">
        <v>2018</v>
      </c>
      <c r="B34" s="538">
        <v>43419</v>
      </c>
      <c r="C34" s="538" t="s">
        <v>1719</v>
      </c>
      <c r="D34" s="538" t="s">
        <v>3</v>
      </c>
      <c r="E34" s="537" t="s">
        <v>246</v>
      </c>
      <c r="F34" s="537" t="s">
        <v>197</v>
      </c>
      <c r="G34" s="537">
        <v>2016</v>
      </c>
      <c r="H34" s="4" t="s">
        <v>248</v>
      </c>
      <c r="I34" s="4" t="s">
        <v>243</v>
      </c>
      <c r="J34" s="44" t="s">
        <v>213</v>
      </c>
      <c r="K34" s="44">
        <v>28.5</v>
      </c>
      <c r="L34" s="44">
        <v>25</v>
      </c>
      <c r="M34" s="10">
        <v>4.7940000000000005</v>
      </c>
      <c r="N34" s="10">
        <v>18.940342094284475</v>
      </c>
      <c r="O34" s="40">
        <v>11.9</v>
      </c>
      <c r="P34" s="529">
        <v>39.215267343135025</v>
      </c>
      <c r="Q34" s="33">
        <v>4.8660020255699106</v>
      </c>
      <c r="R34" s="33">
        <v>19.131793356915129</v>
      </c>
      <c r="T34" s="38">
        <v>0.99079789894334802</v>
      </c>
      <c r="U34" s="39">
        <v>1.961535108641878</v>
      </c>
      <c r="V34" s="38">
        <v>5.3951856642576743</v>
      </c>
      <c r="W34" s="38">
        <v>6.8627730334948147</v>
      </c>
      <c r="X34" s="39">
        <v>26.161464118325725</v>
      </c>
      <c r="Y34" s="39">
        <v>4.6446517033905206</v>
      </c>
      <c r="Z34" s="39">
        <v>20.284081034131617</v>
      </c>
      <c r="AA34" s="38">
        <v>25.836442126216763</v>
      </c>
      <c r="AB34" s="39">
        <v>6.2479510197439563</v>
      </c>
      <c r="AC34" s="39">
        <v>9.4032699857293522</v>
      </c>
      <c r="AD34" s="39">
        <v>49.98944686828959</v>
      </c>
      <c r="AE34" s="39">
        <v>32.136619287387113</v>
      </c>
      <c r="AF34" s="39">
        <v>96.636962741209516</v>
      </c>
      <c r="AG34" s="39">
        <v>1.8429021217382209</v>
      </c>
      <c r="AH34" s="39">
        <v>6.8164196972134139</v>
      </c>
      <c r="AI34" s="39">
        <v>14.050346595600836</v>
      </c>
      <c r="AJ34" s="39">
        <v>34.231192949741697</v>
      </c>
      <c r="AK34" s="39">
        <v>2.4230878292038893</v>
      </c>
    </row>
    <row r="36" spans="1:66" x14ac:dyDescent="0.3">
      <c r="P36" s="32"/>
      <c r="U36" s="37"/>
      <c r="V36" s="37"/>
      <c r="AB36" s="32"/>
      <c r="AF36" s="406"/>
      <c r="AH36" s="37"/>
      <c r="AL36" s="37"/>
    </row>
    <row r="37" spans="1:66" x14ac:dyDescent="0.3">
      <c r="P37" s="32"/>
      <c r="U37" s="37"/>
      <c r="V37" s="37"/>
      <c r="AB37" s="32"/>
      <c r="AF37" s="406"/>
      <c r="AH37" s="37"/>
      <c r="AL37" s="37"/>
    </row>
    <row r="38" spans="1:66" x14ac:dyDescent="0.3">
      <c r="P38" s="32"/>
      <c r="U38" s="37"/>
      <c r="V38" s="37"/>
      <c r="AB38" s="32"/>
      <c r="AF38" s="406"/>
      <c r="AH38" s="37"/>
      <c r="AL38" s="37"/>
    </row>
    <row r="39" spans="1:66" x14ac:dyDescent="0.3">
      <c r="P39" s="32"/>
      <c r="U39" s="37"/>
      <c r="V39" s="37"/>
      <c r="AB39" s="32"/>
      <c r="AF39" s="406"/>
      <c r="AH39" s="37"/>
      <c r="AL39" s="37"/>
    </row>
    <row r="40" spans="1:66" x14ac:dyDescent="0.3">
      <c r="P40" s="32"/>
      <c r="U40" s="37"/>
      <c r="V40" s="37"/>
      <c r="AB40" s="32"/>
      <c r="AF40" s="406"/>
      <c r="AH40" s="37"/>
      <c r="AL40" s="37"/>
    </row>
    <row r="41" spans="1:66" x14ac:dyDescent="0.3">
      <c r="P41" s="32"/>
      <c r="U41" s="37"/>
      <c r="V41" s="37"/>
      <c r="AB41" s="32"/>
      <c r="AF41" s="406"/>
      <c r="AH41" s="37"/>
      <c r="AL41" s="37"/>
    </row>
    <row r="42" spans="1:66" x14ac:dyDescent="0.3">
      <c r="P42" s="32"/>
      <c r="U42" s="37"/>
      <c r="V42" s="37"/>
      <c r="AB42" s="32"/>
      <c r="AF42" s="406"/>
      <c r="AH42" s="37"/>
      <c r="AL42" s="37"/>
    </row>
    <row r="43" spans="1:66" x14ac:dyDescent="0.3">
      <c r="P43" s="32"/>
      <c r="U43" s="37"/>
      <c r="V43" s="37"/>
      <c r="AB43" s="32"/>
      <c r="AF43" s="406"/>
      <c r="AH43" s="37"/>
      <c r="AL43" s="37"/>
    </row>
    <row r="44" spans="1:66" x14ac:dyDescent="0.3">
      <c r="P44" s="32"/>
      <c r="U44" s="37"/>
      <c r="V44" s="37"/>
      <c r="AB44" s="32"/>
      <c r="AF44" s="406"/>
      <c r="AH44" s="37"/>
      <c r="AL44" s="37"/>
    </row>
    <row r="45" spans="1:66" x14ac:dyDescent="0.3">
      <c r="P45" s="32"/>
      <c r="U45" s="37"/>
      <c r="V45" s="37"/>
      <c r="AB45" s="32"/>
      <c r="AF45" s="406"/>
      <c r="AH45" s="37"/>
      <c r="AL45" s="37"/>
    </row>
    <row r="46" spans="1:66" x14ac:dyDescent="0.3">
      <c r="P46" s="32"/>
      <c r="U46" s="37"/>
      <c r="V46" s="37"/>
      <c r="AB46" s="32"/>
      <c r="AF46" s="406"/>
      <c r="AH46" s="37"/>
      <c r="AL46" s="37"/>
    </row>
    <row r="47" spans="1:66" x14ac:dyDescent="0.3">
      <c r="P47" s="32"/>
      <c r="U47" s="37"/>
      <c r="V47" s="37"/>
      <c r="AB47" s="32"/>
      <c r="AF47" s="406"/>
      <c r="AH47" s="37"/>
      <c r="AL47" s="37"/>
    </row>
    <row r="48" spans="1:66" x14ac:dyDescent="0.3">
      <c r="P48" s="32"/>
      <c r="U48" s="37"/>
      <c r="V48" s="37"/>
      <c r="AB48" s="32"/>
      <c r="AF48" s="406"/>
      <c r="AH48" s="37"/>
      <c r="AL48" s="37"/>
    </row>
    <row r="49" spans="16:38" x14ac:dyDescent="0.3">
      <c r="P49" s="32"/>
      <c r="U49" s="37"/>
      <c r="V49" s="37"/>
      <c r="AB49" s="32"/>
      <c r="AF49" s="406"/>
      <c r="AH49" s="37"/>
      <c r="AL49" s="37"/>
    </row>
    <row r="50" spans="16:38" x14ac:dyDescent="0.3">
      <c r="P50" s="32"/>
      <c r="U50" s="37"/>
      <c r="V50" s="37"/>
      <c r="AB50" s="32"/>
      <c r="AF50" s="406"/>
      <c r="AH50" s="37"/>
      <c r="AL50" s="37"/>
    </row>
    <row r="51" spans="16:38" x14ac:dyDescent="0.3">
      <c r="P51" s="32"/>
      <c r="U51" s="37"/>
      <c r="V51" s="37"/>
      <c r="AB51" s="32"/>
      <c r="AF51" s="406"/>
      <c r="AH51" s="37"/>
      <c r="AL51" s="37"/>
    </row>
    <row r="52" spans="16:38" x14ac:dyDescent="0.3">
      <c r="P52" s="32"/>
      <c r="U52" s="37"/>
      <c r="V52" s="37"/>
      <c r="AB52" s="32"/>
      <c r="AF52" s="406"/>
      <c r="AH52" s="37"/>
      <c r="AL52" s="37"/>
    </row>
    <row r="53" spans="16:38" x14ac:dyDescent="0.3">
      <c r="P53" s="32"/>
      <c r="U53" s="37"/>
      <c r="V53" s="37"/>
      <c r="AB53" s="32"/>
      <c r="AF53" s="406"/>
      <c r="AH53" s="37"/>
      <c r="AL53" s="37"/>
    </row>
    <row r="54" spans="16:38" x14ac:dyDescent="0.3">
      <c r="P54" s="32"/>
      <c r="U54" s="37"/>
      <c r="V54" s="37"/>
      <c r="AB54" s="32"/>
      <c r="AF54" s="406"/>
      <c r="AH54" s="37"/>
      <c r="AL54" s="37"/>
    </row>
    <row r="55" spans="16:38" x14ac:dyDescent="0.3">
      <c r="P55" s="32"/>
      <c r="U55" s="37"/>
      <c r="V55" s="37"/>
      <c r="AB55" s="32"/>
      <c r="AF55" s="406"/>
      <c r="AH55" s="37"/>
      <c r="AL55" s="37"/>
    </row>
    <row r="56" spans="16:38" x14ac:dyDescent="0.3">
      <c r="P56" s="32"/>
      <c r="U56" s="37"/>
      <c r="V56" s="37"/>
      <c r="AB56" s="32"/>
      <c r="AF56" s="406"/>
      <c r="AH56" s="37"/>
      <c r="AL56" s="37"/>
    </row>
    <row r="57" spans="16:38" x14ac:dyDescent="0.3">
      <c r="P57" s="32"/>
      <c r="U57" s="37"/>
      <c r="V57" s="37"/>
      <c r="AB57" s="32"/>
      <c r="AF57" s="406"/>
      <c r="AH57" s="37"/>
      <c r="AL57" s="37"/>
    </row>
    <row r="58" spans="16:38" x14ac:dyDescent="0.3">
      <c r="P58" s="32"/>
      <c r="U58" s="37"/>
      <c r="V58" s="37"/>
      <c r="AB58" s="32"/>
      <c r="AF58" s="406"/>
      <c r="AH58" s="37"/>
      <c r="AL58" s="37"/>
    </row>
    <row r="59" spans="16:38" x14ac:dyDescent="0.3">
      <c r="P59" s="32"/>
      <c r="U59" s="37"/>
      <c r="V59" s="37"/>
      <c r="AB59" s="32"/>
      <c r="AF59" s="406"/>
      <c r="AH59" s="37"/>
      <c r="AL59" s="37"/>
    </row>
    <row r="60" spans="16:38" x14ac:dyDescent="0.3">
      <c r="P60" s="32"/>
      <c r="U60" s="37"/>
      <c r="V60" s="37"/>
      <c r="AB60" s="32"/>
      <c r="AF60" s="406"/>
      <c r="AH60" s="37"/>
      <c r="AL60" s="37"/>
    </row>
    <row r="61" spans="16:38" x14ac:dyDescent="0.3">
      <c r="P61" s="32"/>
      <c r="U61" s="37"/>
      <c r="V61" s="37"/>
      <c r="AB61" s="32"/>
      <c r="AF61" s="406"/>
      <c r="AH61" s="37"/>
      <c r="AL61" s="37"/>
    </row>
    <row r="62" spans="16:38" x14ac:dyDescent="0.3">
      <c r="P62" s="32"/>
      <c r="U62" s="37"/>
      <c r="V62" s="37"/>
      <c r="AB62" s="32"/>
      <c r="AF62" s="406"/>
      <c r="AH62" s="37"/>
      <c r="AL62" s="37"/>
    </row>
    <row r="63" spans="16:38" x14ac:dyDescent="0.3">
      <c r="P63" s="32"/>
      <c r="U63" s="37"/>
      <c r="V63" s="37"/>
      <c r="AB63" s="32"/>
      <c r="AF63" s="406"/>
      <c r="AH63" s="37"/>
      <c r="AL63" s="37"/>
    </row>
    <row r="64" spans="16:38" x14ac:dyDescent="0.3">
      <c r="P64" s="32"/>
      <c r="U64" s="37"/>
      <c r="V64" s="37"/>
      <c r="AB64" s="32"/>
      <c r="AF64" s="406"/>
      <c r="AH64" s="37"/>
      <c r="AL64" s="37"/>
    </row>
    <row r="65" spans="16:38" x14ac:dyDescent="0.3">
      <c r="P65" s="32"/>
      <c r="U65" s="37"/>
      <c r="V65" s="37"/>
      <c r="AB65" s="32"/>
      <c r="AF65" s="406"/>
      <c r="AH65" s="37"/>
      <c r="AL65" s="37"/>
    </row>
    <row r="66" spans="16:38" x14ac:dyDescent="0.3">
      <c r="P66" s="32"/>
      <c r="U66" s="37"/>
      <c r="V66" s="37"/>
      <c r="AB66" s="32"/>
      <c r="AF66" s="406"/>
      <c r="AH66" s="37"/>
      <c r="AL66" s="37"/>
    </row>
    <row r="67" spans="16:38" x14ac:dyDescent="0.3">
      <c r="P67" s="32"/>
      <c r="U67" s="37"/>
      <c r="V67" s="37"/>
      <c r="AB67" s="32"/>
      <c r="AF67" s="406"/>
      <c r="AH67" s="37"/>
      <c r="AL67" s="37"/>
    </row>
    <row r="68" spans="16:38" x14ac:dyDescent="0.3">
      <c r="P68" s="32"/>
      <c r="U68" s="37"/>
      <c r="V68" s="37"/>
      <c r="AB68" s="32"/>
      <c r="AF68" s="406"/>
      <c r="AH68" s="37"/>
      <c r="AL68" s="37"/>
    </row>
    <row r="69" spans="16:38" x14ac:dyDescent="0.3">
      <c r="P69" s="32"/>
      <c r="U69" s="37"/>
      <c r="V69" s="37"/>
      <c r="AB69" s="32"/>
      <c r="AF69" s="406"/>
      <c r="AH69" s="37"/>
      <c r="AL69" s="37"/>
    </row>
    <row r="70" spans="16:38" x14ac:dyDescent="0.3">
      <c r="P70" s="32"/>
      <c r="U70" s="37"/>
      <c r="V70" s="37"/>
      <c r="AB70" s="32"/>
      <c r="AF70" s="406"/>
      <c r="AH70" s="37"/>
      <c r="AL70" s="37"/>
    </row>
    <row r="71" spans="16:38" x14ac:dyDescent="0.3">
      <c r="P71" s="32"/>
      <c r="U71" s="37"/>
      <c r="V71" s="37"/>
      <c r="AB71" s="32"/>
      <c r="AF71" s="406"/>
      <c r="AH71" s="37"/>
      <c r="AL71" s="37"/>
    </row>
    <row r="72" spans="16:38" x14ac:dyDescent="0.3">
      <c r="P72" s="32"/>
      <c r="U72" s="37"/>
      <c r="V72" s="37"/>
      <c r="AB72" s="32"/>
      <c r="AF72" s="406"/>
      <c r="AH72" s="37"/>
      <c r="AL72" s="37"/>
    </row>
    <row r="73" spans="16:38" x14ac:dyDescent="0.3">
      <c r="P73" s="32"/>
      <c r="U73" s="37"/>
      <c r="V73" s="37"/>
      <c r="AB73" s="32"/>
      <c r="AF73" s="406"/>
      <c r="AH73" s="37"/>
      <c r="AL73" s="37"/>
    </row>
    <row r="74" spans="16:38" x14ac:dyDescent="0.3">
      <c r="P74" s="32"/>
      <c r="U74" s="37"/>
      <c r="V74" s="37"/>
      <c r="AB74" s="32"/>
      <c r="AF74" s="406"/>
      <c r="AH74" s="37"/>
      <c r="AL74" s="37"/>
    </row>
    <row r="75" spans="16:38" x14ac:dyDescent="0.3">
      <c r="P75" s="32"/>
      <c r="U75" s="37"/>
      <c r="V75" s="37"/>
      <c r="AB75" s="32"/>
      <c r="AF75" s="406"/>
      <c r="AH75" s="37"/>
      <c r="AL75" s="37"/>
    </row>
    <row r="76" spans="16:38" x14ac:dyDescent="0.3">
      <c r="P76" s="32"/>
      <c r="U76" s="37"/>
      <c r="V76" s="37"/>
      <c r="AB76" s="32"/>
      <c r="AF76" s="406"/>
      <c r="AH76" s="37"/>
      <c r="AL76" s="37"/>
    </row>
    <row r="77" spans="16:38" x14ac:dyDescent="0.3">
      <c r="P77" s="32"/>
      <c r="U77" s="37"/>
      <c r="V77" s="37"/>
      <c r="AB77" s="32"/>
      <c r="AF77" s="406"/>
      <c r="AH77" s="37"/>
      <c r="AL77" s="37"/>
    </row>
    <row r="78" spans="16:38" x14ac:dyDescent="0.3">
      <c r="P78" s="32"/>
      <c r="U78" s="37"/>
      <c r="V78" s="37"/>
      <c r="AB78" s="32"/>
      <c r="AF78" s="406"/>
      <c r="AH78" s="37"/>
      <c r="AL78" s="37"/>
    </row>
    <row r="79" spans="16:38" x14ac:dyDescent="0.3">
      <c r="P79" s="32"/>
      <c r="U79" s="37"/>
      <c r="V79" s="37"/>
      <c r="AB79" s="32"/>
      <c r="AF79" s="406"/>
      <c r="AH79" s="37"/>
      <c r="AL79" s="37"/>
    </row>
    <row r="80" spans="16:38" x14ac:dyDescent="0.3">
      <c r="P80" s="32"/>
      <c r="U80" s="37"/>
      <c r="V80" s="37"/>
      <c r="AB80" s="32"/>
      <c r="AF80" s="406"/>
      <c r="AH80" s="37"/>
      <c r="AL80" s="37"/>
    </row>
    <row r="81" spans="16:38" x14ac:dyDescent="0.3">
      <c r="P81" s="32"/>
      <c r="U81" s="37"/>
      <c r="V81" s="37"/>
      <c r="AB81" s="32"/>
      <c r="AF81" s="406"/>
      <c r="AH81" s="37"/>
      <c r="AL81" s="37"/>
    </row>
    <row r="82" spans="16:38" x14ac:dyDescent="0.3">
      <c r="P82" s="32"/>
      <c r="U82" s="37"/>
      <c r="V82" s="37"/>
      <c r="AB82" s="32"/>
      <c r="AF82" s="406"/>
      <c r="AH82" s="37"/>
      <c r="AL82" s="37"/>
    </row>
    <row r="83" spans="16:38" x14ac:dyDescent="0.3">
      <c r="P83" s="32"/>
      <c r="U83" s="37"/>
      <c r="V83" s="37"/>
      <c r="AB83" s="32"/>
      <c r="AF83" s="406"/>
      <c r="AH83" s="37"/>
      <c r="AL83" s="37"/>
    </row>
    <row r="84" spans="16:38" x14ac:dyDescent="0.3">
      <c r="P84" s="32"/>
      <c r="U84" s="37"/>
      <c r="V84" s="37"/>
      <c r="AB84" s="32"/>
      <c r="AF84" s="406"/>
      <c r="AH84" s="37"/>
      <c r="AL84" s="37"/>
    </row>
    <row r="85" spans="16:38" x14ac:dyDescent="0.3">
      <c r="P85" s="32"/>
      <c r="U85" s="37"/>
      <c r="V85" s="37"/>
      <c r="AB85" s="32"/>
      <c r="AF85" s="406"/>
      <c r="AH85" s="37"/>
      <c r="AL85" s="37"/>
    </row>
    <row r="86" spans="16:38" x14ac:dyDescent="0.3">
      <c r="P86" s="32"/>
      <c r="U86" s="37"/>
      <c r="V86" s="37"/>
      <c r="AB86" s="32"/>
      <c r="AF86" s="406"/>
      <c r="AH86" s="37"/>
      <c r="AL86" s="37"/>
    </row>
    <row r="87" spans="16:38" x14ac:dyDescent="0.3">
      <c r="P87" s="32"/>
      <c r="U87" s="37"/>
      <c r="V87" s="37"/>
      <c r="AB87" s="32"/>
      <c r="AF87" s="406"/>
      <c r="AH87" s="37"/>
      <c r="AL87" s="37"/>
    </row>
    <row r="88" spans="16:38" x14ac:dyDescent="0.3">
      <c r="P88" s="32"/>
      <c r="U88" s="37"/>
      <c r="V88" s="37"/>
      <c r="AB88" s="32"/>
      <c r="AF88" s="406"/>
      <c r="AH88" s="37"/>
      <c r="AL88" s="37"/>
    </row>
    <row r="89" spans="16:38" x14ac:dyDescent="0.3">
      <c r="P89" s="32"/>
      <c r="U89" s="37"/>
      <c r="V89" s="37"/>
      <c r="AB89" s="32"/>
      <c r="AF89" s="406"/>
      <c r="AH89" s="37"/>
      <c r="AL89" s="37"/>
    </row>
    <row r="90" spans="16:38" x14ac:dyDescent="0.3">
      <c r="P90" s="32"/>
      <c r="U90" s="37"/>
      <c r="V90" s="37"/>
      <c r="AB90" s="32"/>
      <c r="AF90" s="406"/>
      <c r="AH90" s="37"/>
      <c r="AL90" s="37"/>
    </row>
    <row r="91" spans="16:38" x14ac:dyDescent="0.3">
      <c r="P91" s="32"/>
      <c r="U91" s="37"/>
      <c r="V91" s="37"/>
      <c r="AB91" s="32"/>
      <c r="AF91" s="406"/>
      <c r="AH91" s="37"/>
      <c r="AL91" s="37"/>
    </row>
    <row r="92" spans="16:38" x14ac:dyDescent="0.3">
      <c r="P92" s="32"/>
      <c r="U92" s="37"/>
      <c r="V92" s="37"/>
      <c r="AB92" s="32"/>
      <c r="AF92" s="406"/>
      <c r="AH92" s="37"/>
      <c r="AL92" s="37"/>
    </row>
    <row r="93" spans="16:38" x14ac:dyDescent="0.3">
      <c r="P93" s="32"/>
      <c r="U93" s="37"/>
      <c r="V93" s="37"/>
      <c r="AB93" s="32"/>
      <c r="AF93" s="406"/>
      <c r="AH93" s="37"/>
      <c r="AL93" s="37"/>
    </row>
    <row r="94" spans="16:38" x14ac:dyDescent="0.3">
      <c r="P94" s="32"/>
      <c r="U94" s="37"/>
      <c r="V94" s="37"/>
      <c r="AB94" s="32"/>
      <c r="AF94" s="406"/>
      <c r="AH94" s="37"/>
      <c r="AL94" s="37"/>
    </row>
    <row r="95" spans="16:38" x14ac:dyDescent="0.3">
      <c r="P95" s="32"/>
      <c r="U95" s="37"/>
      <c r="V95" s="37"/>
      <c r="AB95" s="32"/>
      <c r="AF95" s="406"/>
      <c r="AH95" s="37"/>
      <c r="AL95" s="37"/>
    </row>
    <row r="96" spans="16:38" x14ac:dyDescent="0.3">
      <c r="P96" s="32"/>
      <c r="U96" s="37"/>
      <c r="V96" s="37"/>
      <c r="AB96" s="32"/>
      <c r="AF96" s="406"/>
      <c r="AH96" s="37"/>
      <c r="AL96" s="37"/>
    </row>
    <row r="97" spans="16:38" x14ac:dyDescent="0.3">
      <c r="P97" s="32"/>
      <c r="U97" s="37"/>
      <c r="V97" s="37"/>
      <c r="AB97" s="32"/>
      <c r="AF97" s="406"/>
      <c r="AH97" s="37"/>
      <c r="AL97" s="37"/>
    </row>
    <row r="98" spans="16:38" x14ac:dyDescent="0.3">
      <c r="P98" s="32"/>
      <c r="U98" s="37"/>
      <c r="V98" s="37"/>
      <c r="AB98" s="32"/>
      <c r="AF98" s="406"/>
      <c r="AH98" s="37"/>
      <c r="AL98" s="37"/>
    </row>
    <row r="99" spans="16:38" x14ac:dyDescent="0.3">
      <c r="P99" s="32"/>
      <c r="U99" s="37"/>
      <c r="V99" s="37"/>
      <c r="AB99" s="32"/>
      <c r="AF99" s="406"/>
      <c r="AH99" s="37"/>
      <c r="AL99" s="37"/>
    </row>
    <row r="100" spans="16:38" x14ac:dyDescent="0.3">
      <c r="P100" s="32"/>
      <c r="U100" s="37"/>
      <c r="V100" s="37"/>
      <c r="AB100" s="32"/>
      <c r="AF100" s="406"/>
      <c r="AH100" s="37"/>
      <c r="AL100" s="37"/>
    </row>
    <row r="101" spans="16:38" x14ac:dyDescent="0.3">
      <c r="P101" s="32"/>
      <c r="U101" s="37"/>
      <c r="V101" s="37"/>
      <c r="AB101" s="32"/>
      <c r="AF101" s="406"/>
      <c r="AH101" s="37"/>
      <c r="AL101" s="37"/>
    </row>
    <row r="102" spans="16:38" x14ac:dyDescent="0.3">
      <c r="P102" s="32"/>
      <c r="U102" s="37"/>
      <c r="V102" s="37"/>
      <c r="AB102" s="32"/>
      <c r="AF102" s="406"/>
      <c r="AH102" s="37"/>
      <c r="AL102" s="37"/>
    </row>
    <row r="103" spans="16:38" x14ac:dyDescent="0.3">
      <c r="P103" s="32"/>
      <c r="U103" s="37"/>
      <c r="V103" s="37"/>
      <c r="AB103" s="32"/>
      <c r="AF103" s="406"/>
      <c r="AH103" s="37"/>
      <c r="AL103" s="37"/>
    </row>
    <row r="104" spans="16:38" x14ac:dyDescent="0.3">
      <c r="P104" s="32"/>
      <c r="U104" s="37"/>
      <c r="V104" s="37"/>
      <c r="AB104" s="32"/>
      <c r="AF104" s="406"/>
      <c r="AH104" s="37"/>
      <c r="AL104" s="37"/>
    </row>
    <row r="105" spans="16:38" x14ac:dyDescent="0.3">
      <c r="P105" s="32"/>
      <c r="U105" s="37"/>
      <c r="V105" s="37"/>
      <c r="AB105" s="32"/>
      <c r="AF105" s="406"/>
      <c r="AH105" s="37"/>
      <c r="AL105" s="37"/>
    </row>
    <row r="106" spans="16:38" x14ac:dyDescent="0.3">
      <c r="P106" s="32"/>
      <c r="U106" s="37"/>
      <c r="V106" s="37"/>
      <c r="AB106" s="32"/>
      <c r="AF106" s="406"/>
      <c r="AH106" s="37"/>
      <c r="AL106" s="37"/>
    </row>
    <row r="107" spans="16:38" x14ac:dyDescent="0.3">
      <c r="P107" s="32"/>
      <c r="U107" s="37"/>
      <c r="V107" s="37"/>
      <c r="AB107" s="32"/>
      <c r="AF107" s="406"/>
      <c r="AH107" s="37"/>
      <c r="AL107" s="37"/>
    </row>
    <row r="108" spans="16:38" x14ac:dyDescent="0.3">
      <c r="P108" s="32"/>
      <c r="U108" s="37"/>
      <c r="V108" s="37"/>
      <c r="AB108" s="32"/>
      <c r="AF108" s="406"/>
      <c r="AH108" s="37"/>
      <c r="AL108" s="37"/>
    </row>
    <row r="109" spans="16:38" x14ac:dyDescent="0.3">
      <c r="P109" s="32"/>
      <c r="U109" s="37"/>
      <c r="V109" s="37"/>
      <c r="AB109" s="32"/>
      <c r="AF109" s="406"/>
      <c r="AH109" s="37"/>
      <c r="AL109" s="37"/>
    </row>
    <row r="110" spans="16:38" x14ac:dyDescent="0.3">
      <c r="P110" s="32"/>
      <c r="U110" s="37"/>
      <c r="V110" s="37"/>
      <c r="AB110" s="32"/>
      <c r="AF110" s="406"/>
      <c r="AH110" s="37"/>
      <c r="AL110" s="37"/>
    </row>
    <row r="111" spans="16:38" x14ac:dyDescent="0.3">
      <c r="P111" s="32"/>
      <c r="U111" s="37"/>
      <c r="V111" s="37"/>
      <c r="AB111" s="32"/>
      <c r="AF111" s="406"/>
      <c r="AH111" s="37"/>
      <c r="AL111" s="37"/>
    </row>
    <row r="112" spans="16:38" x14ac:dyDescent="0.3">
      <c r="P112" s="32"/>
      <c r="U112" s="37"/>
      <c r="V112" s="37"/>
      <c r="AB112" s="32"/>
      <c r="AF112" s="406"/>
      <c r="AH112" s="37"/>
      <c r="AL112" s="37"/>
    </row>
    <row r="113" spans="16:38" x14ac:dyDescent="0.3">
      <c r="P113" s="32"/>
      <c r="U113" s="37"/>
      <c r="V113" s="37"/>
      <c r="AB113" s="32"/>
      <c r="AF113" s="406"/>
      <c r="AH113" s="37"/>
      <c r="AL113" s="37"/>
    </row>
    <row r="114" spans="16:38" x14ac:dyDescent="0.3">
      <c r="P114" s="32"/>
      <c r="U114" s="37"/>
      <c r="V114" s="37"/>
      <c r="AB114" s="32"/>
      <c r="AF114" s="406"/>
      <c r="AH114" s="37"/>
      <c r="AL114" s="37"/>
    </row>
    <row r="115" spans="16:38" x14ac:dyDescent="0.3">
      <c r="P115" s="32"/>
      <c r="U115" s="37"/>
      <c r="V115" s="37"/>
      <c r="AB115" s="32"/>
      <c r="AF115" s="406"/>
      <c r="AH115" s="37"/>
      <c r="AL115" s="37"/>
    </row>
    <row r="116" spans="16:38" x14ac:dyDescent="0.3">
      <c r="P116" s="32"/>
      <c r="U116" s="37"/>
      <c r="V116" s="37"/>
      <c r="AB116" s="32"/>
      <c r="AF116" s="406"/>
      <c r="AH116" s="37"/>
      <c r="AL116" s="37"/>
    </row>
    <row r="117" spans="16:38" x14ac:dyDescent="0.3">
      <c r="P117" s="32"/>
      <c r="U117" s="37"/>
      <c r="V117" s="37"/>
      <c r="AB117" s="32"/>
      <c r="AF117" s="406"/>
      <c r="AH117" s="37"/>
      <c r="AL117" s="37"/>
    </row>
    <row r="118" spans="16:38" x14ac:dyDescent="0.3">
      <c r="P118" s="32"/>
      <c r="U118" s="37"/>
      <c r="V118" s="37"/>
      <c r="AB118" s="32"/>
      <c r="AF118" s="406"/>
      <c r="AH118" s="37"/>
      <c r="AL118" s="37"/>
    </row>
    <row r="119" spans="16:38" x14ac:dyDescent="0.3">
      <c r="P119" s="32"/>
      <c r="U119" s="37"/>
      <c r="V119" s="37"/>
      <c r="AB119" s="32"/>
      <c r="AF119" s="406"/>
      <c r="AH119" s="37"/>
      <c r="AL119" s="37"/>
    </row>
    <row r="120" spans="16:38" x14ac:dyDescent="0.3">
      <c r="P120" s="32"/>
      <c r="U120" s="37"/>
      <c r="V120" s="37"/>
      <c r="AB120" s="32"/>
      <c r="AF120" s="406"/>
      <c r="AH120" s="37"/>
      <c r="AL120" s="37"/>
    </row>
    <row r="121" spans="16:38" x14ac:dyDescent="0.3">
      <c r="P121" s="32"/>
      <c r="U121" s="37"/>
      <c r="V121" s="37"/>
      <c r="AB121" s="32"/>
      <c r="AF121" s="406"/>
      <c r="AH121" s="37"/>
      <c r="AL121" s="37"/>
    </row>
    <row r="122" spans="16:38" x14ac:dyDescent="0.3">
      <c r="P122" s="32"/>
      <c r="U122" s="37"/>
      <c r="V122" s="37"/>
      <c r="AB122" s="32"/>
      <c r="AF122" s="406"/>
      <c r="AH122" s="37"/>
      <c r="AL122" s="37"/>
    </row>
    <row r="123" spans="16:38" x14ac:dyDescent="0.3">
      <c r="P123" s="32"/>
      <c r="U123" s="37"/>
      <c r="V123" s="37"/>
      <c r="AB123" s="32"/>
      <c r="AF123" s="406"/>
      <c r="AH123" s="37"/>
      <c r="AL123" s="37"/>
    </row>
    <row r="124" spans="16:38" x14ac:dyDescent="0.3">
      <c r="P124" s="32"/>
      <c r="U124" s="37"/>
      <c r="V124" s="37"/>
      <c r="AB124" s="32"/>
      <c r="AF124" s="406"/>
      <c r="AH124" s="37"/>
      <c r="AL124" s="37"/>
    </row>
    <row r="125" spans="16:38" x14ac:dyDescent="0.3">
      <c r="P125" s="32"/>
      <c r="U125" s="37"/>
      <c r="V125" s="37"/>
      <c r="AB125" s="32"/>
      <c r="AF125" s="406"/>
      <c r="AH125" s="37"/>
      <c r="AL125" s="37"/>
    </row>
    <row r="126" spans="16:38" x14ac:dyDescent="0.3">
      <c r="P126" s="32"/>
      <c r="U126" s="37"/>
      <c r="V126" s="37"/>
      <c r="AB126" s="32"/>
      <c r="AF126" s="406"/>
      <c r="AH126" s="37"/>
      <c r="AL126" s="37"/>
    </row>
    <row r="127" spans="16:38" x14ac:dyDescent="0.3">
      <c r="P127" s="32"/>
      <c r="U127" s="37"/>
      <c r="V127" s="37"/>
      <c r="AB127" s="32"/>
      <c r="AF127" s="406"/>
      <c r="AH127" s="37"/>
      <c r="AL127" s="37"/>
    </row>
    <row r="128" spans="16:38" x14ac:dyDescent="0.3">
      <c r="P128" s="32"/>
      <c r="U128" s="37"/>
      <c r="V128" s="37"/>
      <c r="AB128" s="32"/>
      <c r="AF128" s="406"/>
      <c r="AH128" s="37"/>
      <c r="AL128" s="37"/>
    </row>
    <row r="129" spans="16:38" x14ac:dyDescent="0.3">
      <c r="P129" s="32"/>
      <c r="U129" s="37"/>
      <c r="V129" s="37"/>
      <c r="AB129" s="32"/>
      <c r="AF129" s="406"/>
      <c r="AH129" s="37"/>
      <c r="AL129" s="37"/>
    </row>
    <row r="130" spans="16:38" x14ac:dyDescent="0.3">
      <c r="P130" s="32"/>
      <c r="U130" s="37"/>
      <c r="V130" s="37"/>
      <c r="AB130" s="32"/>
      <c r="AF130" s="406"/>
      <c r="AH130" s="37"/>
      <c r="AL130" s="37"/>
    </row>
    <row r="131" spans="16:38" x14ac:dyDescent="0.3">
      <c r="P131" s="32"/>
      <c r="U131" s="37"/>
      <c r="V131" s="37"/>
      <c r="AB131" s="32"/>
      <c r="AF131" s="406"/>
      <c r="AH131" s="37"/>
      <c r="AL131" s="37"/>
    </row>
    <row r="132" spans="16:38" x14ac:dyDescent="0.3">
      <c r="P132" s="32"/>
      <c r="U132" s="37"/>
      <c r="V132" s="37"/>
      <c r="AB132" s="32"/>
      <c r="AF132" s="406"/>
      <c r="AH132" s="37"/>
      <c r="AL132" s="37"/>
    </row>
    <row r="133" spans="16:38" x14ac:dyDescent="0.3">
      <c r="P133" s="32"/>
      <c r="U133" s="37"/>
      <c r="V133" s="37"/>
      <c r="AB133" s="32"/>
      <c r="AF133" s="406"/>
      <c r="AH133" s="37"/>
      <c r="AL133" s="37"/>
    </row>
    <row r="134" spans="16:38" x14ac:dyDescent="0.3">
      <c r="P134" s="32"/>
      <c r="U134" s="37"/>
      <c r="V134" s="37"/>
      <c r="AB134" s="32"/>
      <c r="AF134" s="406"/>
      <c r="AH134" s="37"/>
      <c r="AL134" s="37"/>
    </row>
    <row r="135" spans="16:38" x14ac:dyDescent="0.3">
      <c r="P135" s="32"/>
      <c r="U135" s="37"/>
      <c r="V135" s="37"/>
      <c r="AB135" s="32"/>
      <c r="AF135" s="406"/>
      <c r="AH135" s="37"/>
      <c r="AL135" s="37"/>
    </row>
    <row r="136" spans="16:38" x14ac:dyDescent="0.3">
      <c r="P136" s="32"/>
      <c r="U136" s="37"/>
      <c r="V136" s="37"/>
      <c r="AB136" s="32"/>
      <c r="AF136" s="406"/>
      <c r="AH136" s="37"/>
      <c r="AL136" s="37"/>
    </row>
    <row r="137" spans="16:38" x14ac:dyDescent="0.3">
      <c r="P137" s="32"/>
      <c r="U137" s="37"/>
      <c r="V137" s="37"/>
      <c r="AB137" s="32"/>
      <c r="AF137" s="406"/>
      <c r="AH137" s="37"/>
      <c r="AL137" s="37"/>
    </row>
    <row r="138" spans="16:38" x14ac:dyDescent="0.3">
      <c r="P138" s="32"/>
      <c r="U138" s="37"/>
      <c r="V138" s="37"/>
      <c r="AB138" s="32"/>
      <c r="AF138" s="406"/>
      <c r="AH138" s="37"/>
      <c r="AL138" s="37"/>
    </row>
    <row r="139" spans="16:38" x14ac:dyDescent="0.3">
      <c r="P139" s="32"/>
      <c r="U139" s="37"/>
      <c r="V139" s="37"/>
      <c r="AB139" s="32"/>
      <c r="AF139" s="406"/>
      <c r="AH139" s="37"/>
      <c r="AL139" s="37"/>
    </row>
    <row r="140" spans="16:38" x14ac:dyDescent="0.3">
      <c r="P140" s="32"/>
      <c r="U140" s="37"/>
      <c r="V140" s="37"/>
      <c r="AB140" s="32"/>
      <c r="AF140" s="406"/>
      <c r="AH140" s="37"/>
      <c r="AL140" s="37"/>
    </row>
    <row r="141" spans="16:38" x14ac:dyDescent="0.3">
      <c r="P141" s="32"/>
      <c r="U141" s="37"/>
      <c r="V141" s="37"/>
      <c r="AB141" s="32"/>
      <c r="AF141" s="406"/>
      <c r="AH141" s="37"/>
      <c r="AL141" s="37"/>
    </row>
    <row r="142" spans="16:38" x14ac:dyDescent="0.3">
      <c r="P142" s="32"/>
      <c r="U142" s="37"/>
      <c r="V142" s="37"/>
      <c r="AB142" s="32"/>
      <c r="AF142" s="406"/>
      <c r="AH142" s="37"/>
      <c r="AL142" s="37"/>
    </row>
    <row r="143" spans="16:38" x14ac:dyDescent="0.3">
      <c r="P143" s="32"/>
      <c r="U143" s="37"/>
      <c r="V143" s="37"/>
      <c r="AB143" s="32"/>
      <c r="AF143" s="406"/>
      <c r="AH143" s="37"/>
      <c r="AL143" s="37"/>
    </row>
    <row r="144" spans="16:38" x14ac:dyDescent="0.3">
      <c r="P144" s="32"/>
      <c r="U144" s="37"/>
      <c r="V144" s="37"/>
      <c r="AB144" s="32"/>
      <c r="AF144" s="406"/>
      <c r="AH144" s="37"/>
      <c r="AL144" s="37"/>
    </row>
    <row r="145" spans="16:38" x14ac:dyDescent="0.3">
      <c r="P145" s="32"/>
      <c r="U145" s="37"/>
      <c r="V145" s="37"/>
      <c r="AB145" s="32"/>
      <c r="AF145" s="406"/>
      <c r="AH145" s="37"/>
      <c r="AL145" s="37"/>
    </row>
    <row r="146" spans="16:38" x14ac:dyDescent="0.3">
      <c r="P146" s="32"/>
      <c r="U146" s="37"/>
      <c r="V146" s="37"/>
      <c r="AB146" s="32"/>
      <c r="AF146" s="406"/>
      <c r="AH146" s="37"/>
      <c r="AL146" s="37"/>
    </row>
    <row r="147" spans="16:38" x14ac:dyDescent="0.3">
      <c r="P147" s="32"/>
      <c r="U147" s="37"/>
      <c r="V147" s="37"/>
      <c r="AB147" s="32"/>
      <c r="AF147" s="406"/>
      <c r="AH147" s="37"/>
      <c r="AL147" s="37"/>
    </row>
    <row r="148" spans="16:38" x14ac:dyDescent="0.3">
      <c r="P148" s="32"/>
      <c r="U148" s="37"/>
      <c r="V148" s="37"/>
      <c r="AB148" s="32"/>
      <c r="AF148" s="406"/>
      <c r="AH148" s="37"/>
      <c r="AL148" s="37"/>
    </row>
    <row r="149" spans="16:38" x14ac:dyDescent="0.3">
      <c r="P149" s="32"/>
      <c r="U149" s="37"/>
      <c r="V149" s="37"/>
      <c r="AB149" s="32"/>
      <c r="AF149" s="406"/>
      <c r="AH149" s="37"/>
      <c r="AL149" s="37"/>
    </row>
    <row r="150" spans="16:38" x14ac:dyDescent="0.3">
      <c r="P150" s="32"/>
      <c r="U150" s="37"/>
      <c r="V150" s="37"/>
      <c r="AB150" s="32"/>
      <c r="AF150" s="406"/>
      <c r="AH150" s="37"/>
      <c r="AL150" s="37"/>
    </row>
    <row r="151" spans="16:38" x14ac:dyDescent="0.3">
      <c r="P151" s="32"/>
      <c r="U151" s="37"/>
      <c r="V151" s="37"/>
      <c r="AB151" s="32"/>
      <c r="AF151" s="406"/>
      <c r="AH151" s="37"/>
      <c r="AL151" s="37"/>
    </row>
    <row r="152" spans="16:38" x14ac:dyDescent="0.3">
      <c r="P152" s="32"/>
      <c r="U152" s="37"/>
      <c r="V152" s="37"/>
      <c r="AB152" s="32"/>
      <c r="AF152" s="406"/>
      <c r="AH152" s="37"/>
      <c r="AL152" s="37"/>
    </row>
    <row r="153" spans="16:38" x14ac:dyDescent="0.3">
      <c r="P153" s="32"/>
      <c r="U153" s="37"/>
      <c r="V153" s="37"/>
      <c r="AB153" s="32"/>
      <c r="AF153" s="406"/>
      <c r="AH153" s="37"/>
      <c r="AL153" s="37"/>
    </row>
    <row r="154" spans="16:38" x14ac:dyDescent="0.3">
      <c r="P154" s="32"/>
      <c r="U154" s="37"/>
      <c r="V154" s="37"/>
      <c r="AB154" s="32"/>
      <c r="AF154" s="406"/>
      <c r="AH154" s="37"/>
      <c r="AL154" s="37"/>
    </row>
    <row r="155" spans="16:38" x14ac:dyDescent="0.3">
      <c r="P155" s="32"/>
      <c r="U155" s="37"/>
      <c r="V155" s="37"/>
      <c r="AB155" s="32"/>
      <c r="AF155" s="406"/>
      <c r="AH155" s="37"/>
      <c r="AL155" s="37"/>
    </row>
    <row r="156" spans="16:38" x14ac:dyDescent="0.3">
      <c r="P156" s="32"/>
      <c r="U156" s="37"/>
      <c r="V156" s="37"/>
      <c r="AB156" s="32"/>
      <c r="AF156" s="406"/>
      <c r="AH156" s="37"/>
      <c r="AL156" s="37"/>
    </row>
    <row r="157" spans="16:38" x14ac:dyDescent="0.3">
      <c r="P157" s="32"/>
      <c r="U157" s="37"/>
      <c r="V157" s="37"/>
      <c r="AB157" s="32"/>
      <c r="AF157" s="406"/>
      <c r="AH157" s="37"/>
      <c r="AL157" s="37"/>
    </row>
    <row r="158" spans="16:38" x14ac:dyDescent="0.3">
      <c r="P158" s="32"/>
      <c r="U158" s="37"/>
      <c r="V158" s="37"/>
      <c r="AB158" s="32"/>
      <c r="AF158" s="406"/>
      <c r="AH158" s="37"/>
      <c r="AL158" s="37"/>
    </row>
    <row r="159" spans="16:38" x14ac:dyDescent="0.3">
      <c r="P159" s="32"/>
      <c r="U159" s="37"/>
      <c r="V159" s="37"/>
      <c r="AB159" s="32"/>
      <c r="AF159" s="406"/>
      <c r="AH159" s="37"/>
      <c r="AL159" s="37"/>
    </row>
    <row r="160" spans="16:38" x14ac:dyDescent="0.3">
      <c r="P160" s="32"/>
      <c r="U160" s="37"/>
      <c r="V160" s="37"/>
      <c r="AB160" s="32"/>
      <c r="AF160" s="406"/>
      <c r="AH160" s="37"/>
      <c r="AL160" s="37"/>
    </row>
    <row r="161" spans="16:38" x14ac:dyDescent="0.3">
      <c r="P161" s="32"/>
      <c r="U161" s="37"/>
      <c r="V161" s="37"/>
      <c r="AB161" s="32"/>
      <c r="AF161" s="406"/>
      <c r="AH161" s="37"/>
      <c r="AL161" s="37"/>
    </row>
    <row r="162" spans="16:38" x14ac:dyDescent="0.3">
      <c r="P162" s="32"/>
      <c r="U162" s="37"/>
      <c r="V162" s="37"/>
      <c r="AB162" s="32"/>
      <c r="AF162" s="406"/>
      <c r="AH162" s="37"/>
      <c r="AL162" s="37"/>
    </row>
    <row r="163" spans="16:38" x14ac:dyDescent="0.3">
      <c r="P163" s="32"/>
      <c r="U163" s="37"/>
      <c r="V163" s="37"/>
      <c r="AB163" s="32"/>
      <c r="AF163" s="406"/>
      <c r="AH163" s="37"/>
      <c r="AL163" s="37"/>
    </row>
    <row r="164" spans="16:38" x14ac:dyDescent="0.3">
      <c r="P164" s="32"/>
      <c r="U164" s="37"/>
      <c r="V164" s="37"/>
      <c r="AB164" s="32"/>
      <c r="AF164" s="406"/>
      <c r="AH164" s="37"/>
      <c r="AL164" s="37"/>
    </row>
    <row r="165" spans="16:38" x14ac:dyDescent="0.3">
      <c r="P165" s="32"/>
      <c r="U165" s="37"/>
      <c r="V165" s="37"/>
      <c r="AB165" s="32"/>
      <c r="AF165" s="406"/>
      <c r="AH165" s="37"/>
      <c r="AL165" s="37"/>
    </row>
    <row r="166" spans="16:38" x14ac:dyDescent="0.3">
      <c r="P166" s="32"/>
      <c r="U166" s="37"/>
      <c r="V166" s="37"/>
      <c r="AB166" s="32"/>
      <c r="AF166" s="406"/>
      <c r="AH166" s="37"/>
      <c r="AL166" s="37"/>
    </row>
    <row r="167" spans="16:38" x14ac:dyDescent="0.3">
      <c r="P167" s="32"/>
      <c r="U167" s="37"/>
      <c r="V167" s="37"/>
      <c r="AB167" s="32"/>
      <c r="AF167" s="406"/>
      <c r="AH167" s="37"/>
      <c r="AL167" s="37"/>
    </row>
    <row r="168" spans="16:38" x14ac:dyDescent="0.3">
      <c r="P168" s="32"/>
      <c r="U168" s="37"/>
      <c r="V168" s="37"/>
      <c r="AB168" s="32"/>
      <c r="AF168" s="406"/>
      <c r="AH168" s="37"/>
      <c r="AL168" s="37"/>
    </row>
    <row r="169" spans="16:38" x14ac:dyDescent="0.3">
      <c r="P169" s="32"/>
      <c r="U169" s="37"/>
      <c r="V169" s="37"/>
      <c r="AB169" s="32"/>
      <c r="AF169" s="406"/>
      <c r="AH169" s="37"/>
      <c r="AL169" s="37"/>
    </row>
    <row r="170" spans="16:38" x14ac:dyDescent="0.3">
      <c r="P170" s="32"/>
      <c r="U170" s="37"/>
      <c r="V170" s="37"/>
      <c r="AB170" s="32"/>
      <c r="AF170" s="406"/>
      <c r="AH170" s="37"/>
      <c r="AL170" s="37"/>
    </row>
    <row r="171" spans="16:38" x14ac:dyDescent="0.3">
      <c r="P171" s="32"/>
      <c r="U171" s="37"/>
      <c r="V171" s="37"/>
      <c r="AB171" s="32"/>
      <c r="AF171" s="406"/>
      <c r="AH171" s="37"/>
      <c r="AL171" s="37"/>
    </row>
    <row r="172" spans="16:38" x14ac:dyDescent="0.3">
      <c r="P172" s="32"/>
      <c r="U172" s="37"/>
      <c r="V172" s="37"/>
      <c r="AB172" s="32"/>
      <c r="AF172" s="406"/>
      <c r="AH172" s="37"/>
      <c r="AL172" s="37"/>
    </row>
    <row r="173" spans="16:38" x14ac:dyDescent="0.3">
      <c r="P173" s="32"/>
      <c r="U173" s="37"/>
      <c r="V173" s="37"/>
      <c r="AB173" s="32"/>
      <c r="AF173" s="406"/>
      <c r="AH173" s="37"/>
      <c r="AL173" s="37"/>
    </row>
    <row r="174" spans="16:38" x14ac:dyDescent="0.3">
      <c r="P174" s="32"/>
      <c r="U174" s="37"/>
      <c r="V174" s="37"/>
      <c r="AB174" s="32"/>
      <c r="AF174" s="406"/>
      <c r="AH174" s="37"/>
      <c r="AL174" s="37"/>
    </row>
    <row r="175" spans="16:38" x14ac:dyDescent="0.3">
      <c r="P175" s="32"/>
      <c r="U175" s="37"/>
      <c r="V175" s="37"/>
      <c r="AB175" s="32"/>
      <c r="AF175" s="406"/>
      <c r="AH175" s="37"/>
      <c r="AL175" s="37"/>
    </row>
    <row r="176" spans="16:38" x14ac:dyDescent="0.3">
      <c r="P176" s="32"/>
      <c r="U176" s="37"/>
      <c r="V176" s="37"/>
      <c r="AB176" s="32"/>
      <c r="AF176" s="406"/>
      <c r="AH176" s="37"/>
      <c r="AL176" s="37"/>
    </row>
    <row r="177" spans="16:38" x14ac:dyDescent="0.3">
      <c r="P177" s="32"/>
      <c r="U177" s="37"/>
      <c r="V177" s="37"/>
      <c r="AB177" s="32"/>
      <c r="AF177" s="406"/>
      <c r="AH177" s="37"/>
      <c r="AL177" s="37"/>
    </row>
    <row r="178" spans="16:38" x14ac:dyDescent="0.3">
      <c r="P178" s="32"/>
      <c r="U178" s="37"/>
      <c r="V178" s="37"/>
      <c r="AB178" s="32"/>
      <c r="AF178" s="406"/>
      <c r="AH178" s="37"/>
      <c r="AL178" s="37"/>
    </row>
    <row r="179" spans="16:38" x14ac:dyDescent="0.3">
      <c r="P179" s="32"/>
      <c r="U179" s="37"/>
      <c r="V179" s="37"/>
      <c r="AB179" s="32"/>
      <c r="AF179" s="406"/>
      <c r="AH179" s="37"/>
      <c r="AL179" s="37"/>
    </row>
    <row r="180" spans="16:38" x14ac:dyDescent="0.3">
      <c r="P180" s="32"/>
      <c r="U180" s="37"/>
      <c r="V180" s="37"/>
      <c r="AB180" s="32"/>
      <c r="AF180" s="406"/>
      <c r="AH180" s="37"/>
      <c r="AL180" s="37"/>
    </row>
    <row r="181" spans="16:38" x14ac:dyDescent="0.3">
      <c r="P181" s="32"/>
      <c r="U181" s="37"/>
      <c r="V181" s="37"/>
      <c r="AB181" s="32"/>
      <c r="AF181" s="406"/>
      <c r="AH181" s="37"/>
      <c r="AL181" s="37"/>
    </row>
    <row r="182" spans="16:38" x14ac:dyDescent="0.3">
      <c r="P182" s="32"/>
      <c r="U182" s="37"/>
      <c r="V182" s="37"/>
      <c r="AB182" s="32"/>
      <c r="AF182" s="406"/>
      <c r="AH182" s="37"/>
      <c r="AL182" s="37"/>
    </row>
    <row r="183" spans="16:38" x14ac:dyDescent="0.3">
      <c r="P183" s="32"/>
      <c r="U183" s="37"/>
      <c r="V183" s="37"/>
      <c r="AB183" s="32"/>
      <c r="AF183" s="406"/>
      <c r="AH183" s="37"/>
      <c r="AL183" s="37"/>
    </row>
    <row r="184" spans="16:38" x14ac:dyDescent="0.3">
      <c r="P184" s="32"/>
      <c r="U184" s="37"/>
      <c r="V184" s="37"/>
      <c r="AB184" s="32"/>
      <c r="AF184" s="406"/>
      <c r="AH184" s="37"/>
      <c r="AL184" s="37"/>
    </row>
    <row r="185" spans="16:38" x14ac:dyDescent="0.3">
      <c r="P185" s="32"/>
      <c r="U185" s="37"/>
      <c r="V185" s="37"/>
      <c r="AB185" s="32"/>
      <c r="AF185" s="406"/>
      <c r="AH185" s="37"/>
      <c r="AL185" s="37"/>
    </row>
    <row r="186" spans="16:38" x14ac:dyDescent="0.3">
      <c r="P186" s="32"/>
      <c r="U186" s="37"/>
      <c r="V186" s="37"/>
      <c r="AB186" s="32"/>
      <c r="AF186" s="406"/>
      <c r="AH186" s="37"/>
      <c r="AL186" s="37"/>
    </row>
    <row r="187" spans="16:38" x14ac:dyDescent="0.3">
      <c r="P187" s="32"/>
      <c r="U187" s="37"/>
      <c r="V187" s="37"/>
      <c r="AB187" s="32"/>
      <c r="AF187" s="406"/>
      <c r="AH187" s="37"/>
      <c r="AL187" s="37"/>
    </row>
    <row r="188" spans="16:38" x14ac:dyDescent="0.3">
      <c r="P188" s="32"/>
      <c r="U188" s="37"/>
      <c r="V188" s="37"/>
      <c r="AB188" s="32"/>
      <c r="AF188" s="406"/>
      <c r="AH188" s="37"/>
      <c r="AL188" s="37"/>
    </row>
    <row r="189" spans="16:38" x14ac:dyDescent="0.3">
      <c r="P189" s="32"/>
      <c r="U189" s="37"/>
      <c r="V189" s="37"/>
      <c r="AB189" s="32"/>
      <c r="AF189" s="406"/>
      <c r="AH189" s="37"/>
      <c r="AL189" s="37"/>
    </row>
    <row r="190" spans="16:38" x14ac:dyDescent="0.3">
      <c r="P190" s="32"/>
      <c r="U190" s="37"/>
      <c r="V190" s="37"/>
      <c r="AB190" s="32"/>
      <c r="AF190" s="406"/>
      <c r="AH190" s="37"/>
      <c r="AL190" s="37"/>
    </row>
    <row r="191" spans="16:38" x14ac:dyDescent="0.3">
      <c r="P191" s="32"/>
      <c r="U191" s="37"/>
      <c r="V191" s="37"/>
      <c r="AB191" s="32"/>
      <c r="AF191" s="406"/>
      <c r="AH191" s="37"/>
      <c r="AL191" s="37"/>
    </row>
    <row r="192" spans="16:38" x14ac:dyDescent="0.3">
      <c r="P192" s="32"/>
      <c r="U192" s="37"/>
      <c r="V192" s="37"/>
      <c r="AB192" s="32"/>
      <c r="AF192" s="406"/>
      <c r="AH192" s="37"/>
      <c r="AL192" s="37"/>
    </row>
    <row r="193" spans="16:38" x14ac:dyDescent="0.3">
      <c r="P193" s="32"/>
      <c r="U193" s="37"/>
      <c r="V193" s="37"/>
      <c r="AB193" s="32"/>
      <c r="AF193" s="406"/>
      <c r="AH193" s="37"/>
      <c r="AL193" s="37"/>
    </row>
    <row r="194" spans="16:38" x14ac:dyDescent="0.3">
      <c r="P194" s="32"/>
      <c r="U194" s="37"/>
      <c r="V194" s="37"/>
      <c r="AB194" s="32"/>
      <c r="AF194" s="406"/>
      <c r="AH194" s="37"/>
      <c r="AL194" s="37"/>
    </row>
    <row r="195" spans="16:38" x14ac:dyDescent="0.3">
      <c r="P195" s="32"/>
      <c r="U195" s="37"/>
      <c r="V195" s="37"/>
      <c r="AB195" s="32"/>
      <c r="AF195" s="406"/>
      <c r="AH195" s="37"/>
      <c r="AL195" s="37"/>
    </row>
    <row r="196" spans="16:38" x14ac:dyDescent="0.3">
      <c r="P196" s="32"/>
      <c r="U196" s="37"/>
      <c r="V196" s="37"/>
      <c r="AB196" s="32"/>
      <c r="AF196" s="406"/>
      <c r="AH196" s="37"/>
      <c r="AL196" s="37"/>
    </row>
    <row r="197" spans="16:38" x14ac:dyDescent="0.3">
      <c r="P197" s="32"/>
      <c r="U197" s="37"/>
      <c r="V197" s="37"/>
      <c r="AB197" s="32"/>
      <c r="AF197" s="406"/>
      <c r="AH197" s="37"/>
      <c r="AL197" s="37"/>
    </row>
    <row r="198" spans="16:38" x14ac:dyDescent="0.3">
      <c r="P198" s="32"/>
      <c r="U198" s="37"/>
      <c r="V198" s="37"/>
      <c r="AB198" s="32"/>
      <c r="AF198" s="406"/>
      <c r="AH198" s="37"/>
      <c r="AL198" s="37"/>
    </row>
    <row r="199" spans="16:38" x14ac:dyDescent="0.3">
      <c r="P199" s="32"/>
      <c r="U199" s="37"/>
      <c r="V199" s="37"/>
      <c r="AB199" s="32"/>
      <c r="AF199" s="406"/>
      <c r="AH199" s="37"/>
      <c r="AL199" s="37"/>
    </row>
    <row r="200" spans="16:38" x14ac:dyDescent="0.3">
      <c r="P200" s="32"/>
      <c r="U200" s="37"/>
      <c r="V200" s="37"/>
      <c r="AB200" s="32"/>
      <c r="AF200" s="406"/>
      <c r="AH200" s="37"/>
      <c r="AL200" s="37"/>
    </row>
    <row r="201" spans="16:38" x14ac:dyDescent="0.3">
      <c r="P201" s="32"/>
      <c r="U201" s="37"/>
      <c r="V201" s="37"/>
      <c r="AB201" s="32"/>
      <c r="AF201" s="406"/>
      <c r="AH201" s="37"/>
      <c r="AL201" s="37"/>
    </row>
    <row r="202" spans="16:38" x14ac:dyDescent="0.3">
      <c r="P202" s="32"/>
      <c r="U202" s="37"/>
      <c r="V202" s="37"/>
      <c r="AB202" s="32"/>
      <c r="AF202" s="406"/>
      <c r="AH202" s="37"/>
      <c r="AL202" s="37"/>
    </row>
    <row r="203" spans="16:38" x14ac:dyDescent="0.3">
      <c r="P203" s="32"/>
      <c r="U203" s="37"/>
      <c r="V203" s="37"/>
      <c r="AB203" s="32"/>
      <c r="AF203" s="406"/>
      <c r="AH203" s="37"/>
      <c r="AL203" s="37"/>
    </row>
    <row r="204" spans="16:38" x14ac:dyDescent="0.3">
      <c r="P204" s="32"/>
      <c r="U204" s="37"/>
      <c r="V204" s="37"/>
      <c r="AB204" s="32"/>
      <c r="AF204" s="406"/>
      <c r="AH204" s="37"/>
      <c r="AL204" s="37"/>
    </row>
    <row r="205" spans="16:38" x14ac:dyDescent="0.3">
      <c r="P205" s="32"/>
      <c r="U205" s="37"/>
      <c r="V205" s="37"/>
      <c r="AB205" s="32"/>
      <c r="AF205" s="406"/>
      <c r="AH205" s="37"/>
      <c r="AL205" s="37"/>
    </row>
    <row r="206" spans="16:38" x14ac:dyDescent="0.3">
      <c r="P206" s="32"/>
      <c r="U206" s="37"/>
      <c r="V206" s="37"/>
      <c r="AB206" s="32"/>
      <c r="AF206" s="406"/>
      <c r="AH206" s="37"/>
      <c r="AL206" s="37"/>
    </row>
    <row r="207" spans="16:38" x14ac:dyDescent="0.3">
      <c r="P207" s="32"/>
      <c r="U207" s="37"/>
      <c r="V207" s="37"/>
      <c r="AB207" s="32"/>
      <c r="AF207" s="406"/>
      <c r="AH207" s="37"/>
      <c r="AL207" s="37"/>
    </row>
    <row r="208" spans="16:38" x14ac:dyDescent="0.3">
      <c r="P208" s="32"/>
      <c r="U208" s="37"/>
      <c r="V208" s="37"/>
      <c r="AB208" s="32"/>
      <c r="AF208" s="406"/>
      <c r="AH208" s="37"/>
      <c r="AL208" s="37"/>
    </row>
    <row r="209" spans="16:38" x14ac:dyDescent="0.3">
      <c r="P209" s="32"/>
      <c r="U209" s="37"/>
      <c r="V209" s="37"/>
      <c r="AB209" s="32"/>
      <c r="AF209" s="406"/>
      <c r="AH209" s="37"/>
      <c r="AL209" s="37"/>
    </row>
    <row r="210" spans="16:38" x14ac:dyDescent="0.3">
      <c r="P210" s="32"/>
      <c r="U210" s="37"/>
      <c r="V210" s="37"/>
      <c r="AB210" s="32"/>
      <c r="AF210" s="406"/>
      <c r="AH210" s="37"/>
      <c r="AL210" s="37"/>
    </row>
    <row r="211" spans="16:38" x14ac:dyDescent="0.3">
      <c r="P211" s="32"/>
      <c r="U211" s="37"/>
      <c r="V211" s="37"/>
      <c r="AB211" s="32"/>
      <c r="AF211" s="406"/>
      <c r="AH211" s="37"/>
      <c r="AL211" s="37"/>
    </row>
    <row r="212" spans="16:38" x14ac:dyDescent="0.3">
      <c r="P212" s="32"/>
      <c r="U212" s="37"/>
      <c r="V212" s="37"/>
      <c r="AB212" s="32"/>
      <c r="AF212" s="406"/>
      <c r="AH212" s="37"/>
      <c r="AL212" s="37"/>
    </row>
    <row r="213" spans="16:38" x14ac:dyDescent="0.3">
      <c r="P213" s="32"/>
      <c r="U213" s="37"/>
      <c r="V213" s="37"/>
      <c r="AB213" s="32"/>
      <c r="AF213" s="406"/>
      <c r="AH213" s="37"/>
      <c r="AL213" s="37"/>
    </row>
    <row r="214" spans="16:38" x14ac:dyDescent="0.3">
      <c r="P214" s="32"/>
      <c r="U214" s="37"/>
      <c r="V214" s="37"/>
      <c r="AB214" s="32"/>
      <c r="AF214" s="406"/>
      <c r="AH214" s="37"/>
      <c r="AL214" s="37"/>
    </row>
    <row r="215" spans="16:38" x14ac:dyDescent="0.3">
      <c r="P215" s="32"/>
      <c r="U215" s="37"/>
      <c r="V215" s="37"/>
      <c r="AB215" s="32"/>
      <c r="AF215" s="406"/>
      <c r="AH215" s="37"/>
      <c r="AL215" s="37"/>
    </row>
    <row r="216" spans="16:38" x14ac:dyDescent="0.3">
      <c r="P216" s="32"/>
      <c r="U216" s="37"/>
      <c r="V216" s="37"/>
      <c r="AB216" s="32"/>
      <c r="AF216" s="406"/>
      <c r="AH216" s="37"/>
      <c r="AL216" s="37"/>
    </row>
    <row r="217" spans="16:38" x14ac:dyDescent="0.3">
      <c r="P217" s="32"/>
      <c r="U217" s="37"/>
      <c r="V217" s="37"/>
      <c r="AB217" s="32"/>
      <c r="AF217" s="406"/>
      <c r="AH217" s="37"/>
      <c r="AL217" s="37"/>
    </row>
    <row r="218" spans="16:38" x14ac:dyDescent="0.3">
      <c r="P218" s="32"/>
      <c r="U218" s="37"/>
      <c r="V218" s="37"/>
      <c r="AB218" s="32"/>
      <c r="AF218" s="406"/>
      <c r="AH218" s="37"/>
      <c r="AL218" s="37"/>
    </row>
    <row r="219" spans="16:38" x14ac:dyDescent="0.3">
      <c r="P219" s="32"/>
      <c r="U219" s="37"/>
      <c r="V219" s="37"/>
      <c r="AB219" s="32"/>
      <c r="AF219" s="406"/>
      <c r="AH219" s="37"/>
      <c r="AL219" s="37"/>
    </row>
    <row r="220" spans="16:38" x14ac:dyDescent="0.3">
      <c r="P220" s="32"/>
      <c r="U220" s="37"/>
      <c r="V220" s="37"/>
      <c r="AB220" s="32"/>
      <c r="AF220" s="406"/>
      <c r="AH220" s="37"/>
      <c r="AL220" s="37"/>
    </row>
    <row r="221" spans="16:38" x14ac:dyDescent="0.3">
      <c r="P221" s="32"/>
      <c r="U221" s="37"/>
      <c r="V221" s="37"/>
      <c r="AB221" s="32"/>
      <c r="AF221" s="406"/>
      <c r="AH221" s="37"/>
      <c r="AL221" s="37"/>
    </row>
    <row r="222" spans="16:38" x14ac:dyDescent="0.3">
      <c r="P222" s="32"/>
      <c r="U222" s="37"/>
      <c r="V222" s="37"/>
      <c r="AB222" s="32"/>
      <c r="AF222" s="406"/>
      <c r="AH222" s="37"/>
      <c r="AL222" s="37"/>
    </row>
    <row r="223" spans="16:38" x14ac:dyDescent="0.3">
      <c r="P223" s="32"/>
      <c r="U223" s="37"/>
      <c r="V223" s="37"/>
      <c r="AB223" s="32"/>
      <c r="AF223" s="406"/>
      <c r="AH223" s="37"/>
      <c r="AL223" s="37"/>
    </row>
    <row r="224" spans="16:38" x14ac:dyDescent="0.3">
      <c r="P224" s="32"/>
      <c r="U224" s="37"/>
      <c r="V224" s="37"/>
      <c r="AB224" s="32"/>
      <c r="AF224" s="406"/>
      <c r="AH224" s="37"/>
      <c r="AL224" s="37"/>
    </row>
    <row r="225" spans="16:38" x14ac:dyDescent="0.3">
      <c r="P225" s="32"/>
      <c r="U225" s="37"/>
      <c r="V225" s="37"/>
      <c r="AB225" s="32"/>
      <c r="AF225" s="406"/>
      <c r="AH225" s="37"/>
      <c r="AL225" s="37"/>
    </row>
    <row r="226" spans="16:38" x14ac:dyDescent="0.3">
      <c r="P226" s="32"/>
      <c r="U226" s="37"/>
      <c r="V226" s="37"/>
      <c r="AB226" s="32"/>
      <c r="AF226" s="406"/>
      <c r="AH226" s="37"/>
      <c r="AL226" s="37"/>
    </row>
    <row r="227" spans="16:38" x14ac:dyDescent="0.3">
      <c r="P227" s="32"/>
      <c r="U227" s="37"/>
      <c r="V227" s="37"/>
      <c r="AB227" s="32"/>
      <c r="AF227" s="406"/>
      <c r="AH227" s="37"/>
      <c r="AL227" s="37"/>
    </row>
    <row r="228" spans="16:38" x14ac:dyDescent="0.3">
      <c r="P228" s="32"/>
      <c r="U228" s="37"/>
      <c r="V228" s="37"/>
      <c r="AB228" s="32"/>
      <c r="AF228" s="406"/>
      <c r="AH228" s="37"/>
      <c r="AL228" s="37"/>
    </row>
    <row r="229" spans="16:38" x14ac:dyDescent="0.3">
      <c r="P229" s="32"/>
      <c r="U229" s="37"/>
      <c r="V229" s="37"/>
      <c r="AB229" s="32"/>
      <c r="AF229" s="406"/>
      <c r="AH229" s="37"/>
      <c r="AL229" s="37"/>
    </row>
    <row r="230" spans="16:38" x14ac:dyDescent="0.3">
      <c r="P230" s="32"/>
      <c r="U230" s="37"/>
      <c r="V230" s="37"/>
      <c r="AB230" s="32"/>
      <c r="AF230" s="406"/>
      <c r="AH230" s="37"/>
      <c r="AL230" s="37"/>
    </row>
    <row r="231" spans="16:38" x14ac:dyDescent="0.3">
      <c r="P231" s="32"/>
      <c r="U231" s="37"/>
      <c r="V231" s="37"/>
      <c r="AB231" s="32"/>
      <c r="AF231" s="406"/>
      <c r="AH231" s="37"/>
      <c r="AL231" s="37"/>
    </row>
    <row r="232" spans="16:38" x14ac:dyDescent="0.3">
      <c r="P232" s="32"/>
      <c r="U232" s="37"/>
      <c r="V232" s="37"/>
      <c r="AB232" s="32"/>
      <c r="AF232" s="406"/>
      <c r="AH232" s="37"/>
      <c r="AL232" s="37"/>
    </row>
    <row r="233" spans="16:38" x14ac:dyDescent="0.3">
      <c r="P233" s="32"/>
      <c r="U233" s="37"/>
      <c r="V233" s="37"/>
      <c r="AB233" s="32"/>
      <c r="AF233" s="406"/>
      <c r="AH233" s="37"/>
      <c r="AL233" s="37"/>
    </row>
    <row r="234" spans="16:38" x14ac:dyDescent="0.3">
      <c r="P234" s="32"/>
      <c r="U234" s="37"/>
      <c r="V234" s="37"/>
      <c r="AB234" s="32"/>
      <c r="AF234" s="406"/>
      <c r="AH234" s="37"/>
      <c r="AL234" s="37"/>
    </row>
    <row r="235" spans="16:38" x14ac:dyDescent="0.3">
      <c r="P235" s="32"/>
      <c r="U235" s="37"/>
      <c r="V235" s="37"/>
      <c r="AB235" s="32"/>
      <c r="AF235" s="406"/>
      <c r="AH235" s="37"/>
      <c r="AL235" s="37"/>
    </row>
    <row r="236" spans="16:38" x14ac:dyDescent="0.3">
      <c r="P236" s="32"/>
      <c r="U236" s="37"/>
      <c r="V236" s="37"/>
      <c r="AB236" s="32"/>
      <c r="AF236" s="406"/>
      <c r="AH236" s="37"/>
      <c r="AL236" s="37"/>
    </row>
    <row r="237" spans="16:38" x14ac:dyDescent="0.3">
      <c r="P237" s="32"/>
      <c r="U237" s="37"/>
      <c r="V237" s="37"/>
      <c r="AB237" s="32"/>
      <c r="AF237" s="406"/>
      <c r="AH237" s="37"/>
      <c r="AL237" s="37"/>
    </row>
    <row r="238" spans="16:38" x14ac:dyDescent="0.3">
      <c r="P238" s="32"/>
      <c r="U238" s="37"/>
      <c r="V238" s="37"/>
      <c r="AB238" s="32"/>
      <c r="AF238" s="406"/>
      <c r="AH238" s="37"/>
      <c r="AL238" s="37"/>
    </row>
    <row r="239" spans="16:38" x14ac:dyDescent="0.3">
      <c r="P239" s="32"/>
      <c r="U239" s="37"/>
      <c r="V239" s="37"/>
      <c r="AB239" s="32"/>
      <c r="AF239" s="406"/>
      <c r="AH239" s="37"/>
      <c r="AL239" s="37"/>
    </row>
    <row r="240" spans="16:38" x14ac:dyDescent="0.3">
      <c r="P240" s="32"/>
      <c r="U240" s="37"/>
      <c r="V240" s="37"/>
      <c r="AB240" s="32"/>
      <c r="AF240" s="406"/>
      <c r="AH240" s="37"/>
      <c r="AL240" s="37"/>
    </row>
    <row r="241" spans="16:38" x14ac:dyDescent="0.3">
      <c r="P241" s="32"/>
      <c r="U241" s="37"/>
      <c r="V241" s="37"/>
      <c r="AB241" s="32"/>
      <c r="AF241" s="406"/>
      <c r="AH241" s="37"/>
      <c r="AL241" s="37"/>
    </row>
    <row r="242" spans="16:38" x14ac:dyDescent="0.3">
      <c r="P242" s="32"/>
      <c r="U242" s="37"/>
      <c r="V242" s="37"/>
      <c r="AB242" s="32"/>
      <c r="AF242" s="406"/>
      <c r="AH242" s="37"/>
      <c r="AL242" s="37"/>
    </row>
    <row r="243" spans="16:38" x14ac:dyDescent="0.3">
      <c r="P243" s="32"/>
      <c r="U243" s="37"/>
      <c r="V243" s="37"/>
      <c r="AB243" s="32"/>
      <c r="AF243" s="406"/>
      <c r="AH243" s="37"/>
      <c r="AL243" s="37"/>
    </row>
    <row r="244" spans="16:38" x14ac:dyDescent="0.3">
      <c r="P244" s="32"/>
      <c r="U244" s="37"/>
      <c r="V244" s="37"/>
      <c r="AB244" s="32"/>
      <c r="AF244" s="406"/>
      <c r="AH244" s="37"/>
      <c r="AL244" s="37"/>
    </row>
    <row r="245" spans="16:38" x14ac:dyDescent="0.3">
      <c r="P245" s="32"/>
      <c r="U245" s="37"/>
      <c r="V245" s="37"/>
      <c r="AB245" s="32"/>
      <c r="AF245" s="406"/>
      <c r="AH245" s="37"/>
      <c r="AL245" s="37"/>
    </row>
    <row r="246" spans="16:38" x14ac:dyDescent="0.3">
      <c r="P246" s="32"/>
      <c r="U246" s="37"/>
      <c r="V246" s="37"/>
      <c r="AB246" s="32"/>
      <c r="AF246" s="406"/>
      <c r="AH246" s="37"/>
      <c r="AL246" s="37"/>
    </row>
    <row r="247" spans="16:38" x14ac:dyDescent="0.3">
      <c r="P247" s="32"/>
      <c r="U247" s="37"/>
      <c r="V247" s="37"/>
      <c r="AB247" s="32"/>
      <c r="AF247" s="406"/>
      <c r="AH247" s="37"/>
      <c r="AL247" s="37"/>
    </row>
    <row r="248" spans="16:38" x14ac:dyDescent="0.3">
      <c r="P248" s="32"/>
      <c r="U248" s="37"/>
      <c r="V248" s="37"/>
      <c r="AB248" s="32"/>
      <c r="AF248" s="406"/>
      <c r="AH248" s="37"/>
      <c r="AL248" s="37"/>
    </row>
    <row r="249" spans="16:38" x14ac:dyDescent="0.3">
      <c r="P249" s="32"/>
      <c r="U249" s="37"/>
      <c r="V249" s="37"/>
      <c r="AB249" s="32"/>
      <c r="AF249" s="406"/>
      <c r="AH249" s="37"/>
      <c r="AL249" s="37"/>
    </row>
    <row r="250" spans="16:38" x14ac:dyDescent="0.3">
      <c r="P250" s="32"/>
      <c r="U250" s="37"/>
      <c r="V250" s="37"/>
      <c r="AB250" s="32"/>
      <c r="AF250" s="406"/>
      <c r="AH250" s="37"/>
      <c r="AL250" s="37"/>
    </row>
    <row r="251" spans="16:38" x14ac:dyDescent="0.3">
      <c r="P251" s="32"/>
      <c r="U251" s="37"/>
      <c r="V251" s="37"/>
      <c r="AB251" s="32"/>
      <c r="AF251" s="406"/>
      <c r="AH251" s="37"/>
      <c r="AL251" s="37"/>
    </row>
    <row r="252" spans="16:38" x14ac:dyDescent="0.3">
      <c r="P252" s="32"/>
      <c r="U252" s="37"/>
      <c r="V252" s="37"/>
      <c r="AB252" s="32"/>
      <c r="AF252" s="406"/>
      <c r="AH252" s="37"/>
      <c r="AL252" s="37"/>
    </row>
    <row r="253" spans="16:38" x14ac:dyDescent="0.3">
      <c r="P253" s="32"/>
      <c r="U253" s="37"/>
      <c r="V253" s="37"/>
      <c r="AB253" s="32"/>
      <c r="AF253" s="406"/>
      <c r="AH253" s="37"/>
      <c r="AL253" s="37"/>
    </row>
    <row r="254" spans="16:38" x14ac:dyDescent="0.3">
      <c r="P254" s="32"/>
      <c r="U254" s="37"/>
      <c r="V254" s="37"/>
      <c r="AB254" s="32"/>
      <c r="AF254" s="406"/>
      <c r="AH254" s="37"/>
      <c r="AL254" s="37"/>
    </row>
    <row r="255" spans="16:38" x14ac:dyDescent="0.3">
      <c r="P255" s="32"/>
      <c r="U255" s="37"/>
      <c r="V255" s="37"/>
      <c r="AB255" s="32"/>
      <c r="AF255" s="406"/>
      <c r="AH255" s="37"/>
      <c r="AL255" s="37"/>
    </row>
    <row r="256" spans="16:38" x14ac:dyDescent="0.3">
      <c r="P256" s="32"/>
      <c r="U256" s="37"/>
      <c r="V256" s="37"/>
      <c r="AB256" s="32"/>
      <c r="AF256" s="406"/>
      <c r="AH256" s="37"/>
      <c r="AL256" s="37"/>
    </row>
    <row r="257" spans="16:38" x14ac:dyDescent="0.3">
      <c r="P257" s="32"/>
      <c r="U257" s="37"/>
      <c r="V257" s="37"/>
      <c r="AB257" s="32"/>
      <c r="AF257" s="406"/>
      <c r="AH257" s="37"/>
      <c r="AL257" s="37"/>
    </row>
    <row r="258" spans="16:38" x14ac:dyDescent="0.3">
      <c r="P258" s="32"/>
      <c r="U258" s="37"/>
      <c r="V258" s="37"/>
      <c r="AB258" s="32"/>
      <c r="AF258" s="406"/>
      <c r="AH258" s="37"/>
      <c r="AL258" s="37"/>
    </row>
    <row r="259" spans="16:38" x14ac:dyDescent="0.3">
      <c r="P259" s="32"/>
      <c r="U259" s="37"/>
      <c r="V259" s="37"/>
      <c r="AB259" s="32"/>
      <c r="AF259" s="406"/>
      <c r="AH259" s="37"/>
      <c r="AL259" s="37"/>
    </row>
    <row r="260" spans="16:38" x14ac:dyDescent="0.3">
      <c r="P260" s="32"/>
      <c r="U260" s="37"/>
      <c r="V260" s="37"/>
      <c r="AB260" s="32"/>
      <c r="AF260" s="406"/>
      <c r="AH260" s="37"/>
      <c r="AL260" s="37"/>
    </row>
    <row r="261" spans="16:38" x14ac:dyDescent="0.3">
      <c r="P261" s="32"/>
      <c r="U261" s="37"/>
      <c r="V261" s="37"/>
      <c r="AB261" s="32"/>
      <c r="AF261" s="406"/>
      <c r="AH261" s="37"/>
      <c r="AL261" s="37"/>
    </row>
    <row r="262" spans="16:38" x14ac:dyDescent="0.3">
      <c r="P262" s="32"/>
      <c r="U262" s="37"/>
      <c r="V262" s="37"/>
      <c r="AB262" s="32"/>
      <c r="AF262" s="406"/>
      <c r="AH262" s="37"/>
      <c r="AL262" s="37"/>
    </row>
    <row r="263" spans="16:38" x14ac:dyDescent="0.3">
      <c r="P263" s="32"/>
      <c r="U263" s="37"/>
      <c r="V263" s="37"/>
      <c r="AB263" s="32"/>
      <c r="AF263" s="406"/>
      <c r="AH263" s="37"/>
      <c r="AL263" s="37"/>
    </row>
    <row r="264" spans="16:38" x14ac:dyDescent="0.3">
      <c r="P264" s="32"/>
      <c r="U264" s="37"/>
      <c r="V264" s="37"/>
      <c r="AB264" s="32"/>
      <c r="AF264" s="406"/>
      <c r="AH264" s="37"/>
      <c r="AL264" s="37"/>
    </row>
    <row r="265" spans="16:38" x14ac:dyDescent="0.3">
      <c r="P265" s="32"/>
      <c r="U265" s="37"/>
      <c r="V265" s="37"/>
      <c r="AB265" s="32"/>
      <c r="AF265" s="406"/>
      <c r="AH265" s="37"/>
      <c r="AL265" s="37"/>
    </row>
    <row r="266" spans="16:38" x14ac:dyDescent="0.3">
      <c r="P266" s="32"/>
      <c r="U266" s="37"/>
      <c r="V266" s="37"/>
      <c r="AB266" s="32"/>
      <c r="AF266" s="406"/>
      <c r="AH266" s="37"/>
      <c r="AL266" s="37"/>
    </row>
    <row r="267" spans="16:38" x14ac:dyDescent="0.3">
      <c r="P267" s="32"/>
      <c r="U267" s="37"/>
      <c r="V267" s="37"/>
      <c r="AB267" s="32"/>
      <c r="AF267" s="406"/>
      <c r="AH267" s="37"/>
      <c r="AL267" s="37"/>
    </row>
    <row r="268" spans="16:38" x14ac:dyDescent="0.3">
      <c r="P268" s="32"/>
      <c r="U268" s="37"/>
      <c r="V268" s="37"/>
      <c r="AB268" s="32"/>
      <c r="AF268" s="406"/>
      <c r="AH268" s="37"/>
      <c r="AL268" s="37"/>
    </row>
    <row r="269" spans="16:38" x14ac:dyDescent="0.3">
      <c r="P269" s="32"/>
      <c r="U269" s="37"/>
      <c r="V269" s="37"/>
      <c r="AB269" s="32"/>
      <c r="AF269" s="406"/>
      <c r="AH269" s="37"/>
      <c r="AL269" s="37"/>
    </row>
    <row r="270" spans="16:38" x14ac:dyDescent="0.3">
      <c r="P270" s="32"/>
      <c r="U270" s="37"/>
      <c r="V270" s="37"/>
      <c r="AB270" s="32"/>
      <c r="AF270" s="406"/>
      <c r="AH270" s="37"/>
      <c r="AL270" s="37"/>
    </row>
    <row r="271" spans="16:38" x14ac:dyDescent="0.3">
      <c r="P271" s="32"/>
      <c r="U271" s="37"/>
      <c r="V271" s="37"/>
      <c r="AB271" s="32"/>
      <c r="AF271" s="406"/>
      <c r="AH271" s="37"/>
      <c r="AL271" s="37"/>
    </row>
    <row r="272" spans="16:38" x14ac:dyDescent="0.3">
      <c r="P272" s="32"/>
      <c r="U272" s="37"/>
      <c r="V272" s="37"/>
      <c r="AB272" s="32"/>
      <c r="AF272" s="406"/>
      <c r="AH272" s="37"/>
      <c r="AL272" s="37"/>
    </row>
    <row r="273" spans="16:38" x14ac:dyDescent="0.3">
      <c r="P273" s="32"/>
      <c r="U273" s="37"/>
      <c r="V273" s="37"/>
      <c r="AB273" s="32"/>
      <c r="AF273" s="406"/>
      <c r="AH273" s="37"/>
      <c r="AL273" s="37"/>
    </row>
    <row r="274" spans="16:38" x14ac:dyDescent="0.3">
      <c r="P274" s="32"/>
      <c r="U274" s="37"/>
      <c r="V274" s="37"/>
      <c r="AB274" s="32"/>
      <c r="AF274" s="406"/>
      <c r="AH274" s="37"/>
      <c r="AL274" s="37"/>
    </row>
    <row r="275" spans="16:38" x14ac:dyDescent="0.3">
      <c r="P275" s="32"/>
      <c r="U275" s="37"/>
      <c r="V275" s="37"/>
      <c r="AB275" s="32"/>
      <c r="AF275" s="406"/>
      <c r="AH275" s="37"/>
      <c r="AL275" s="37"/>
    </row>
    <row r="276" spans="16:38" x14ac:dyDescent="0.3">
      <c r="P276" s="32"/>
      <c r="U276" s="37"/>
      <c r="V276" s="37"/>
      <c r="AB276" s="32"/>
      <c r="AF276" s="406"/>
      <c r="AH276" s="37"/>
      <c r="AL276" s="37"/>
    </row>
    <row r="277" spans="16:38" x14ac:dyDescent="0.3">
      <c r="P277" s="32"/>
      <c r="U277" s="37"/>
      <c r="V277" s="37"/>
      <c r="AB277" s="32"/>
      <c r="AF277" s="406"/>
      <c r="AH277" s="37"/>
      <c r="AL277" s="37"/>
    </row>
    <row r="278" spans="16:38" x14ac:dyDescent="0.3">
      <c r="P278" s="32"/>
      <c r="U278" s="37"/>
      <c r="V278" s="37"/>
      <c r="AB278" s="32"/>
      <c r="AF278" s="406"/>
      <c r="AH278" s="37"/>
      <c r="AL278" s="37"/>
    </row>
    <row r="279" spans="16:38" x14ac:dyDescent="0.3">
      <c r="P279" s="32"/>
      <c r="U279" s="37"/>
      <c r="V279" s="37"/>
      <c r="AB279" s="32"/>
      <c r="AF279" s="406"/>
      <c r="AH279" s="37"/>
      <c r="AL279" s="37"/>
    </row>
    <row r="280" spans="16:38" x14ac:dyDescent="0.3">
      <c r="P280" s="32"/>
      <c r="U280" s="37"/>
      <c r="V280" s="37"/>
      <c r="AB280" s="32"/>
      <c r="AF280" s="406"/>
      <c r="AH280" s="37"/>
      <c r="AL280" s="37"/>
    </row>
    <row r="281" spans="16:38" x14ac:dyDescent="0.3">
      <c r="P281" s="32"/>
      <c r="U281" s="37"/>
      <c r="V281" s="37"/>
      <c r="AB281" s="32"/>
      <c r="AF281" s="406"/>
      <c r="AH281" s="37"/>
      <c r="AL281" s="37"/>
    </row>
    <row r="282" spans="16:38" x14ac:dyDescent="0.3">
      <c r="P282" s="32"/>
      <c r="U282" s="37"/>
      <c r="V282" s="37"/>
      <c r="AB282" s="32"/>
      <c r="AF282" s="406"/>
      <c r="AH282" s="37"/>
      <c r="AL282" s="37"/>
    </row>
    <row r="283" spans="16:38" x14ac:dyDescent="0.3">
      <c r="P283" s="32"/>
      <c r="U283" s="37"/>
      <c r="V283" s="37"/>
      <c r="AB283" s="32"/>
      <c r="AF283" s="406"/>
      <c r="AH283" s="37"/>
      <c r="AL283" s="37"/>
    </row>
    <row r="284" spans="16:38" x14ac:dyDescent="0.3">
      <c r="P284" s="32"/>
      <c r="U284" s="37"/>
      <c r="V284" s="37"/>
      <c r="AB284" s="32"/>
      <c r="AF284" s="406"/>
      <c r="AH284" s="37"/>
      <c r="AL284" s="37"/>
    </row>
    <row r="285" spans="16:38" x14ac:dyDescent="0.3">
      <c r="P285" s="32"/>
      <c r="U285" s="37"/>
      <c r="V285" s="37"/>
      <c r="AB285" s="32"/>
      <c r="AF285" s="406"/>
      <c r="AH285" s="37"/>
      <c r="AL285" s="37"/>
    </row>
    <row r="286" spans="16:38" x14ac:dyDescent="0.3">
      <c r="P286" s="32"/>
      <c r="U286" s="37"/>
      <c r="V286" s="37"/>
      <c r="AB286" s="32"/>
      <c r="AF286" s="406"/>
      <c r="AH286" s="37"/>
      <c r="AL286" s="37"/>
    </row>
    <row r="287" spans="16:38" x14ac:dyDescent="0.3">
      <c r="P287" s="32"/>
      <c r="U287" s="37"/>
      <c r="V287" s="37"/>
      <c r="AB287" s="32"/>
      <c r="AF287" s="406"/>
      <c r="AH287" s="37"/>
      <c r="AL287" s="37"/>
    </row>
    <row r="288" spans="16:38" x14ac:dyDescent="0.3">
      <c r="P288" s="32"/>
      <c r="U288" s="37"/>
      <c r="V288" s="37"/>
      <c r="AB288" s="32"/>
      <c r="AF288" s="406"/>
      <c r="AH288" s="37"/>
      <c r="AL288" s="37"/>
    </row>
    <row r="289" spans="16:38" x14ac:dyDescent="0.3">
      <c r="P289" s="32"/>
      <c r="U289" s="37"/>
      <c r="V289" s="37"/>
      <c r="AB289" s="32"/>
      <c r="AF289" s="406"/>
      <c r="AH289" s="37"/>
      <c r="AL289" s="37"/>
    </row>
    <row r="290" spans="16:38" x14ac:dyDescent="0.3">
      <c r="P290" s="32"/>
      <c r="U290" s="37"/>
      <c r="V290" s="37"/>
      <c r="AB290" s="32"/>
      <c r="AF290" s="406"/>
      <c r="AH290" s="37"/>
      <c r="AL290" s="37"/>
    </row>
    <row r="291" spans="16:38" x14ac:dyDescent="0.3">
      <c r="P291" s="32"/>
      <c r="U291" s="37"/>
      <c r="V291" s="37"/>
      <c r="AB291" s="32"/>
      <c r="AF291" s="406"/>
      <c r="AH291" s="37"/>
      <c r="AL291" s="37"/>
    </row>
    <row r="292" spans="16:38" x14ac:dyDescent="0.3">
      <c r="P292" s="32"/>
      <c r="U292" s="37"/>
      <c r="V292" s="37"/>
      <c r="AB292" s="32"/>
      <c r="AF292" s="406"/>
      <c r="AH292" s="37"/>
      <c r="AL292" s="37"/>
    </row>
    <row r="293" spans="16:38" x14ac:dyDescent="0.3">
      <c r="P293" s="32"/>
      <c r="U293" s="37"/>
      <c r="V293" s="37"/>
      <c r="AB293" s="32"/>
      <c r="AF293" s="406"/>
      <c r="AH293" s="37"/>
      <c r="AL293" s="37"/>
    </row>
    <row r="294" spans="16:38" x14ac:dyDescent="0.3">
      <c r="P294" s="32"/>
      <c r="U294" s="37"/>
      <c r="V294" s="37"/>
      <c r="AB294" s="32"/>
      <c r="AF294" s="406"/>
      <c r="AH294" s="37"/>
      <c r="AL294" s="37"/>
    </row>
    <row r="295" spans="16:38" x14ac:dyDescent="0.3">
      <c r="P295" s="32"/>
      <c r="U295" s="37"/>
      <c r="V295" s="37"/>
      <c r="AB295" s="32"/>
      <c r="AF295" s="406"/>
      <c r="AH295" s="37"/>
      <c r="AL295" s="37"/>
    </row>
    <row r="296" spans="16:38" x14ac:dyDescent="0.3">
      <c r="P296" s="32"/>
      <c r="U296" s="37"/>
      <c r="V296" s="37"/>
      <c r="AB296" s="32"/>
      <c r="AF296" s="406"/>
      <c r="AH296" s="37"/>
      <c r="AL296" s="37"/>
    </row>
    <row r="297" spans="16:38" x14ac:dyDescent="0.3">
      <c r="P297" s="32"/>
      <c r="U297" s="37"/>
      <c r="V297" s="37"/>
      <c r="AB297" s="32"/>
      <c r="AF297" s="406"/>
      <c r="AH297" s="37"/>
      <c r="AL297" s="37"/>
    </row>
    <row r="298" spans="16:38" x14ac:dyDescent="0.3">
      <c r="P298" s="32"/>
      <c r="U298" s="37"/>
      <c r="V298" s="37"/>
      <c r="AB298" s="32"/>
      <c r="AF298" s="406"/>
      <c r="AH298" s="37"/>
      <c r="AL298" s="37"/>
    </row>
    <row r="299" spans="16:38" x14ac:dyDescent="0.3">
      <c r="P299" s="32"/>
      <c r="U299" s="37"/>
      <c r="V299" s="37"/>
      <c r="AB299" s="32"/>
      <c r="AF299" s="406"/>
      <c r="AH299" s="37"/>
      <c r="AL299" s="37"/>
    </row>
    <row r="300" spans="16:38" x14ac:dyDescent="0.3">
      <c r="P300" s="32"/>
      <c r="U300" s="37"/>
      <c r="V300" s="37"/>
      <c r="AB300" s="32"/>
      <c r="AF300" s="406"/>
      <c r="AH300" s="37"/>
      <c r="AL300" s="37"/>
    </row>
    <row r="301" spans="16:38" x14ac:dyDescent="0.3">
      <c r="P301" s="32"/>
      <c r="U301" s="37"/>
      <c r="V301" s="37"/>
      <c r="AB301" s="32"/>
      <c r="AF301" s="406"/>
      <c r="AH301" s="37"/>
      <c r="AL301" s="37"/>
    </row>
    <row r="302" spans="16:38" x14ac:dyDescent="0.3">
      <c r="P302" s="32"/>
      <c r="U302" s="37"/>
      <c r="V302" s="37"/>
      <c r="AB302" s="32"/>
      <c r="AF302" s="406"/>
      <c r="AH302" s="37"/>
      <c r="AL302" s="37"/>
    </row>
    <row r="303" spans="16:38" x14ac:dyDescent="0.3">
      <c r="P303" s="32"/>
      <c r="U303" s="37"/>
      <c r="V303" s="37"/>
      <c r="AB303" s="32"/>
      <c r="AF303" s="406"/>
      <c r="AH303" s="37"/>
      <c r="AL303" s="37"/>
    </row>
    <row r="304" spans="16:38" x14ac:dyDescent="0.3">
      <c r="P304" s="32"/>
      <c r="U304" s="37"/>
      <c r="V304" s="37"/>
      <c r="AB304" s="32"/>
      <c r="AF304" s="406"/>
      <c r="AH304" s="37"/>
      <c r="AL304" s="37"/>
    </row>
    <row r="305" spans="16:38" x14ac:dyDescent="0.3">
      <c r="P305" s="32"/>
      <c r="U305" s="37"/>
      <c r="V305" s="37"/>
      <c r="AB305" s="32"/>
      <c r="AF305" s="406"/>
      <c r="AH305" s="37"/>
      <c r="AL305" s="37"/>
    </row>
    <row r="306" spans="16:38" x14ac:dyDescent="0.3">
      <c r="P306" s="32"/>
      <c r="U306" s="37"/>
      <c r="V306" s="37"/>
      <c r="AB306" s="32"/>
      <c r="AF306" s="406"/>
      <c r="AH306" s="37"/>
      <c r="AL306" s="37"/>
    </row>
    <row r="307" spans="16:38" x14ac:dyDescent="0.3">
      <c r="P307" s="32"/>
      <c r="U307" s="37"/>
      <c r="V307" s="37"/>
      <c r="AB307" s="32"/>
      <c r="AF307" s="406"/>
      <c r="AH307" s="37"/>
      <c r="AL307" s="37"/>
    </row>
    <row r="308" spans="16:38" x14ac:dyDescent="0.3">
      <c r="P308" s="32"/>
      <c r="U308" s="37"/>
      <c r="V308" s="37"/>
      <c r="AB308" s="32"/>
      <c r="AF308" s="406"/>
      <c r="AH308" s="37"/>
      <c r="AL308" s="37"/>
    </row>
    <row r="309" spans="16:38" x14ac:dyDescent="0.3">
      <c r="P309" s="32"/>
      <c r="U309" s="37"/>
      <c r="V309" s="37"/>
      <c r="AB309" s="32"/>
      <c r="AF309" s="406"/>
      <c r="AH309" s="37"/>
      <c r="AL309" s="37"/>
    </row>
    <row r="310" spans="16:38" x14ac:dyDescent="0.3">
      <c r="P310" s="32"/>
      <c r="U310" s="37"/>
      <c r="V310" s="37"/>
      <c r="AB310" s="32"/>
      <c r="AF310" s="406"/>
      <c r="AH310" s="37"/>
      <c r="AL310" s="37"/>
    </row>
    <row r="311" spans="16:38" x14ac:dyDescent="0.3">
      <c r="P311" s="32"/>
      <c r="U311" s="37"/>
      <c r="V311" s="37"/>
      <c r="AB311" s="32"/>
      <c r="AF311" s="406"/>
      <c r="AH311" s="37"/>
      <c r="AL311" s="37"/>
    </row>
    <row r="312" spans="16:38" x14ac:dyDescent="0.3">
      <c r="P312" s="32"/>
      <c r="U312" s="37"/>
      <c r="V312" s="37"/>
      <c r="AB312" s="32"/>
      <c r="AF312" s="406"/>
      <c r="AH312" s="37"/>
      <c r="AL312" s="37"/>
    </row>
    <row r="313" spans="16:38" x14ac:dyDescent="0.3">
      <c r="P313" s="32"/>
      <c r="U313" s="37"/>
      <c r="V313" s="37"/>
      <c r="AB313" s="32"/>
      <c r="AF313" s="406"/>
      <c r="AH313" s="37"/>
      <c r="AL313" s="37"/>
    </row>
    <row r="314" spans="16:38" x14ac:dyDescent="0.3">
      <c r="P314" s="32"/>
      <c r="U314" s="37"/>
      <c r="V314" s="37"/>
      <c r="AB314" s="32"/>
      <c r="AF314" s="406"/>
      <c r="AH314" s="37"/>
      <c r="AL314" s="37"/>
    </row>
    <row r="315" spans="16:38" x14ac:dyDescent="0.3">
      <c r="P315" s="32"/>
      <c r="U315" s="37"/>
      <c r="V315" s="37"/>
      <c r="AB315" s="32"/>
      <c r="AF315" s="406"/>
      <c r="AH315" s="37"/>
      <c r="AL315" s="37"/>
    </row>
    <row r="316" spans="16:38" x14ac:dyDescent="0.3">
      <c r="P316" s="32"/>
      <c r="U316" s="37"/>
      <c r="V316" s="37"/>
      <c r="AB316" s="32"/>
      <c r="AF316" s="406"/>
      <c r="AH316" s="37"/>
      <c r="AL316" s="37"/>
    </row>
    <row r="317" spans="16:38" x14ac:dyDescent="0.3">
      <c r="P317" s="32"/>
      <c r="U317" s="37"/>
      <c r="V317" s="37"/>
      <c r="AB317" s="32"/>
      <c r="AF317" s="406"/>
      <c r="AH317" s="37"/>
      <c r="AL317" s="37"/>
    </row>
    <row r="318" spans="16:38" x14ac:dyDescent="0.3">
      <c r="P318" s="32"/>
      <c r="U318" s="37"/>
      <c r="V318" s="37"/>
      <c r="AB318" s="32"/>
      <c r="AF318" s="406"/>
      <c r="AH318" s="37"/>
      <c r="AL318" s="37"/>
    </row>
    <row r="319" spans="16:38" x14ac:dyDescent="0.3">
      <c r="P319" s="32"/>
      <c r="U319" s="37"/>
      <c r="V319" s="37"/>
      <c r="AB319" s="32"/>
      <c r="AF319" s="406"/>
      <c r="AH319" s="37"/>
      <c r="AL319" s="37"/>
    </row>
    <row r="320" spans="16:38" x14ac:dyDescent="0.3">
      <c r="P320" s="32"/>
      <c r="U320" s="37"/>
      <c r="V320" s="37"/>
      <c r="AB320" s="32"/>
      <c r="AF320" s="406"/>
      <c r="AH320" s="37"/>
      <c r="AL320" s="37"/>
    </row>
    <row r="321" spans="16:38" x14ac:dyDescent="0.3">
      <c r="P321" s="32"/>
      <c r="U321" s="37"/>
      <c r="V321" s="37"/>
      <c r="AB321" s="32"/>
      <c r="AF321" s="406"/>
      <c r="AH321" s="37"/>
      <c r="AL321" s="37"/>
    </row>
    <row r="322" spans="16:38" x14ac:dyDescent="0.3">
      <c r="P322" s="32"/>
      <c r="U322" s="37"/>
      <c r="V322" s="37"/>
      <c r="AB322" s="32"/>
      <c r="AF322" s="406"/>
      <c r="AH322" s="37"/>
      <c r="AL322" s="37"/>
    </row>
    <row r="323" spans="16:38" x14ac:dyDescent="0.3">
      <c r="P323" s="32"/>
      <c r="U323" s="37"/>
      <c r="V323" s="37"/>
      <c r="AB323" s="32"/>
      <c r="AF323" s="406"/>
      <c r="AH323" s="37"/>
      <c r="AL323" s="37"/>
    </row>
    <row r="324" spans="16:38" x14ac:dyDescent="0.3">
      <c r="P324" s="32"/>
      <c r="U324" s="37"/>
      <c r="V324" s="37"/>
      <c r="AB324" s="32"/>
      <c r="AF324" s="406"/>
      <c r="AH324" s="37"/>
      <c r="AL324" s="37"/>
    </row>
    <row r="325" spans="16:38" x14ac:dyDescent="0.3">
      <c r="P325" s="32"/>
      <c r="U325" s="37"/>
      <c r="V325" s="37"/>
      <c r="AB325" s="32"/>
      <c r="AF325" s="406"/>
      <c r="AH325" s="37"/>
      <c r="AL325" s="37"/>
    </row>
    <row r="326" spans="16:38" x14ac:dyDescent="0.3">
      <c r="P326" s="32"/>
      <c r="U326" s="37"/>
      <c r="V326" s="37"/>
      <c r="AB326" s="32"/>
      <c r="AF326" s="406"/>
      <c r="AH326" s="37"/>
      <c r="AL326" s="37"/>
    </row>
    <row r="327" spans="16:38" x14ac:dyDescent="0.3">
      <c r="P327" s="32"/>
      <c r="U327" s="37"/>
      <c r="V327" s="37"/>
      <c r="AB327" s="32"/>
      <c r="AF327" s="406"/>
      <c r="AH327" s="37"/>
      <c r="AL327" s="37"/>
    </row>
    <row r="328" spans="16:38" x14ac:dyDescent="0.3">
      <c r="P328" s="32"/>
      <c r="U328" s="37"/>
      <c r="V328" s="37"/>
      <c r="AB328" s="32"/>
      <c r="AF328" s="406"/>
      <c r="AH328" s="37"/>
      <c r="AL328" s="37"/>
    </row>
    <row r="329" spans="16:38" x14ac:dyDescent="0.3">
      <c r="P329" s="32"/>
      <c r="U329" s="37"/>
      <c r="V329" s="37"/>
      <c r="AB329" s="32"/>
      <c r="AF329" s="406"/>
      <c r="AH329" s="37"/>
      <c r="AL329" s="37"/>
    </row>
    <row r="330" spans="16:38" x14ac:dyDescent="0.3">
      <c r="P330" s="32"/>
      <c r="U330" s="37"/>
      <c r="V330" s="37"/>
      <c r="AB330" s="32"/>
      <c r="AF330" s="406"/>
      <c r="AH330" s="37"/>
      <c r="AL330" s="37"/>
    </row>
    <row r="331" spans="16:38" x14ac:dyDescent="0.3">
      <c r="P331" s="32"/>
      <c r="U331" s="37"/>
      <c r="V331" s="37"/>
      <c r="AB331" s="32"/>
      <c r="AF331" s="406"/>
      <c r="AH331" s="37"/>
      <c r="AL331" s="37"/>
    </row>
    <row r="332" spans="16:38" x14ac:dyDescent="0.3">
      <c r="P332" s="32"/>
      <c r="U332" s="37"/>
      <c r="V332" s="37"/>
      <c r="AB332" s="32"/>
      <c r="AF332" s="406"/>
      <c r="AH332" s="37"/>
      <c r="AL332" s="37"/>
    </row>
    <row r="333" spans="16:38" x14ac:dyDescent="0.3">
      <c r="P333" s="32"/>
      <c r="U333" s="37"/>
      <c r="V333" s="37"/>
      <c r="AB333" s="32"/>
      <c r="AF333" s="406"/>
      <c r="AH333" s="37"/>
      <c r="AL333" s="37"/>
    </row>
    <row r="334" spans="16:38" x14ac:dyDescent="0.3">
      <c r="P334" s="32"/>
      <c r="U334" s="37"/>
      <c r="V334" s="37"/>
      <c r="AB334" s="32"/>
      <c r="AF334" s="406"/>
      <c r="AH334" s="37"/>
      <c r="AL334" s="37"/>
    </row>
    <row r="335" spans="16:38" x14ac:dyDescent="0.3">
      <c r="P335" s="32"/>
      <c r="U335" s="37"/>
      <c r="V335" s="37"/>
      <c r="AB335" s="32"/>
      <c r="AF335" s="406"/>
      <c r="AH335" s="37"/>
      <c r="AL335" s="37"/>
    </row>
    <row r="336" spans="16:38" x14ac:dyDescent="0.3">
      <c r="P336" s="32"/>
      <c r="U336" s="37"/>
      <c r="V336" s="37"/>
      <c r="AB336" s="32"/>
      <c r="AF336" s="406"/>
      <c r="AH336" s="37"/>
      <c r="AL336" s="37"/>
    </row>
    <row r="337" spans="16:38" x14ac:dyDescent="0.3">
      <c r="P337" s="32"/>
      <c r="U337" s="37"/>
      <c r="V337" s="37"/>
      <c r="AB337" s="32"/>
      <c r="AF337" s="406"/>
      <c r="AH337" s="37"/>
      <c r="AL337" s="37"/>
    </row>
    <row r="338" spans="16:38" x14ac:dyDescent="0.3">
      <c r="P338" s="32"/>
      <c r="U338" s="37"/>
      <c r="V338" s="37"/>
      <c r="AB338" s="32"/>
      <c r="AF338" s="406"/>
      <c r="AH338" s="37"/>
      <c r="AL338" s="37"/>
    </row>
    <row r="339" spans="16:38" x14ac:dyDescent="0.3">
      <c r="P339" s="32"/>
      <c r="U339" s="37"/>
      <c r="V339" s="37"/>
      <c r="AB339" s="32"/>
      <c r="AF339" s="406"/>
      <c r="AH339" s="37"/>
      <c r="AL339" s="37"/>
    </row>
    <row r="340" spans="16:38" x14ac:dyDescent="0.3">
      <c r="P340" s="32"/>
      <c r="U340" s="37"/>
      <c r="V340" s="37"/>
      <c r="AB340" s="32"/>
      <c r="AF340" s="406"/>
      <c r="AH340" s="37"/>
      <c r="AL340" s="37"/>
    </row>
    <row r="341" spans="16:38" x14ac:dyDescent="0.3">
      <c r="P341" s="32"/>
      <c r="U341" s="37"/>
      <c r="V341" s="37"/>
      <c r="AB341" s="32"/>
      <c r="AF341" s="406"/>
      <c r="AH341" s="37"/>
      <c r="AL341" s="37"/>
    </row>
    <row r="342" spans="16:38" x14ac:dyDescent="0.3">
      <c r="P342" s="32"/>
      <c r="U342" s="37"/>
      <c r="V342" s="37"/>
      <c r="AB342" s="32"/>
      <c r="AF342" s="406"/>
      <c r="AH342" s="37"/>
      <c r="AL342" s="37"/>
    </row>
    <row r="343" spans="16:38" x14ac:dyDescent="0.3">
      <c r="P343" s="32"/>
      <c r="U343" s="37"/>
      <c r="V343" s="37"/>
      <c r="AB343" s="32"/>
      <c r="AF343" s="406"/>
      <c r="AH343" s="37"/>
      <c r="AL343" s="37"/>
    </row>
    <row r="344" spans="16:38" x14ac:dyDescent="0.3">
      <c r="P344" s="32"/>
      <c r="U344" s="37"/>
      <c r="V344" s="37"/>
      <c r="AB344" s="32"/>
      <c r="AF344" s="406"/>
      <c r="AH344" s="37"/>
      <c r="AL344" s="37"/>
    </row>
    <row r="345" spans="16:38" x14ac:dyDescent="0.3">
      <c r="P345" s="32"/>
      <c r="U345" s="37"/>
      <c r="V345" s="37"/>
      <c r="AB345" s="32"/>
      <c r="AF345" s="406"/>
      <c r="AH345" s="37"/>
      <c r="AL345" s="37"/>
    </row>
    <row r="346" spans="16:38" x14ac:dyDescent="0.3">
      <c r="P346" s="32"/>
      <c r="U346" s="37"/>
      <c r="V346" s="37"/>
      <c r="AB346" s="32"/>
      <c r="AF346" s="406"/>
      <c r="AH346" s="37"/>
      <c r="AL346" s="37"/>
    </row>
    <row r="347" spans="16:38" x14ac:dyDescent="0.3">
      <c r="P347" s="32"/>
      <c r="U347" s="37"/>
      <c r="V347" s="37"/>
      <c r="AB347" s="32"/>
      <c r="AF347" s="406"/>
      <c r="AH347" s="37"/>
      <c r="AL347" s="37"/>
    </row>
    <row r="348" spans="16:38" x14ac:dyDescent="0.3">
      <c r="P348" s="32"/>
      <c r="U348" s="37"/>
      <c r="V348" s="37"/>
      <c r="AB348" s="32"/>
      <c r="AF348" s="406"/>
      <c r="AH348" s="37"/>
      <c r="AL348" s="37"/>
    </row>
    <row r="349" spans="16:38" x14ac:dyDescent="0.3">
      <c r="P349" s="32"/>
      <c r="U349" s="37"/>
      <c r="V349" s="37"/>
      <c r="AB349" s="32"/>
      <c r="AF349" s="406"/>
      <c r="AH349" s="37"/>
      <c r="AL349" s="37"/>
    </row>
    <row r="350" spans="16:38" x14ac:dyDescent="0.3">
      <c r="P350" s="32"/>
      <c r="U350" s="37"/>
      <c r="V350" s="37"/>
      <c r="AB350" s="32"/>
      <c r="AF350" s="406"/>
      <c r="AH350" s="37"/>
      <c r="AL350" s="37"/>
    </row>
    <row r="351" spans="16:38" x14ac:dyDescent="0.3">
      <c r="P351" s="32"/>
      <c r="U351" s="37"/>
      <c r="V351" s="37"/>
      <c r="AB351" s="32"/>
      <c r="AF351" s="406"/>
      <c r="AH351" s="37"/>
      <c r="AL351" s="37"/>
    </row>
    <row r="352" spans="16:38" x14ac:dyDescent="0.3">
      <c r="P352" s="32"/>
      <c r="U352" s="37"/>
      <c r="V352" s="37"/>
      <c r="AB352" s="32"/>
      <c r="AF352" s="406"/>
      <c r="AH352" s="37"/>
      <c r="AL352" s="37"/>
    </row>
    <row r="353" spans="16:38" x14ac:dyDescent="0.3">
      <c r="P353" s="32"/>
      <c r="U353" s="37"/>
      <c r="V353" s="37"/>
      <c r="AB353" s="32"/>
      <c r="AF353" s="406"/>
      <c r="AH353" s="37"/>
      <c r="AL353" s="37"/>
    </row>
    <row r="354" spans="16:38" x14ac:dyDescent="0.3">
      <c r="P354" s="32"/>
      <c r="U354" s="37"/>
      <c r="V354" s="37"/>
      <c r="AB354" s="32"/>
      <c r="AF354" s="406"/>
      <c r="AH354" s="37"/>
      <c r="AL354" s="37"/>
    </row>
    <row r="355" spans="16:38" x14ac:dyDescent="0.3">
      <c r="P355" s="32"/>
      <c r="U355" s="37"/>
      <c r="V355" s="37"/>
      <c r="AB355" s="32"/>
      <c r="AF355" s="406"/>
      <c r="AH355" s="37"/>
      <c r="AL355" s="37"/>
    </row>
    <row r="356" spans="16:38" x14ac:dyDescent="0.3">
      <c r="P356" s="32"/>
      <c r="U356" s="37"/>
      <c r="V356" s="37"/>
      <c r="AB356" s="32"/>
      <c r="AF356" s="406"/>
      <c r="AH356" s="37"/>
      <c r="AL356" s="37"/>
    </row>
    <row r="357" spans="16:38" x14ac:dyDescent="0.3">
      <c r="P357" s="32"/>
      <c r="U357" s="37"/>
      <c r="V357" s="37"/>
      <c r="AB357" s="32"/>
      <c r="AF357" s="406"/>
      <c r="AH357" s="37"/>
      <c r="AL357" s="37"/>
    </row>
    <row r="358" spans="16:38" x14ac:dyDescent="0.3">
      <c r="P358" s="32"/>
      <c r="U358" s="37"/>
      <c r="V358" s="37"/>
      <c r="AB358" s="32"/>
      <c r="AF358" s="406"/>
      <c r="AH358" s="37"/>
      <c r="AL358" s="37"/>
    </row>
    <row r="359" spans="16:38" x14ac:dyDescent="0.3">
      <c r="P359" s="32"/>
      <c r="U359" s="37"/>
      <c r="V359" s="37"/>
      <c r="AB359" s="32"/>
      <c r="AF359" s="406"/>
      <c r="AH359" s="37"/>
      <c r="AL359" s="37"/>
    </row>
    <row r="360" spans="16:38" x14ac:dyDescent="0.3">
      <c r="P360" s="32"/>
      <c r="U360" s="37"/>
      <c r="V360" s="37"/>
      <c r="AB360" s="32"/>
      <c r="AF360" s="406"/>
      <c r="AH360" s="37"/>
      <c r="AL360" s="37"/>
    </row>
    <row r="361" spans="16:38" x14ac:dyDescent="0.3">
      <c r="P361" s="32"/>
      <c r="U361" s="37"/>
      <c r="V361" s="37"/>
      <c r="AB361" s="32"/>
      <c r="AF361" s="406"/>
      <c r="AH361" s="37"/>
      <c r="AL361" s="37"/>
    </row>
    <row r="362" spans="16:38" x14ac:dyDescent="0.3">
      <c r="P362" s="32"/>
      <c r="U362" s="37"/>
      <c r="V362" s="37"/>
      <c r="AB362" s="32"/>
      <c r="AF362" s="406"/>
      <c r="AH362" s="37"/>
      <c r="AL362" s="37"/>
    </row>
    <row r="363" spans="16:38" x14ac:dyDescent="0.3">
      <c r="P363" s="32"/>
      <c r="U363" s="37"/>
      <c r="V363" s="37"/>
      <c r="AB363" s="32"/>
      <c r="AF363" s="406"/>
      <c r="AH363" s="37"/>
      <c r="AL363" s="37"/>
    </row>
    <row r="364" spans="16:38" x14ac:dyDescent="0.3">
      <c r="P364" s="32"/>
      <c r="U364" s="37"/>
      <c r="V364" s="37"/>
      <c r="AB364" s="32"/>
      <c r="AF364" s="406"/>
      <c r="AH364" s="37"/>
      <c r="AL364" s="37"/>
    </row>
    <row r="365" spans="16:38" x14ac:dyDescent="0.3">
      <c r="P365" s="32"/>
      <c r="U365" s="37"/>
      <c r="V365" s="37"/>
      <c r="AB365" s="32"/>
      <c r="AF365" s="406"/>
      <c r="AH365" s="37"/>
      <c r="AL365" s="37"/>
    </row>
    <row r="366" spans="16:38" x14ac:dyDescent="0.3">
      <c r="P366" s="32"/>
      <c r="U366" s="37"/>
      <c r="V366" s="37"/>
      <c r="AB366" s="32"/>
      <c r="AF366" s="406"/>
      <c r="AH366" s="37"/>
      <c r="AL366" s="37"/>
    </row>
    <row r="367" spans="16:38" x14ac:dyDescent="0.3">
      <c r="P367" s="32"/>
      <c r="U367" s="37"/>
      <c r="V367" s="37"/>
      <c r="AB367" s="32"/>
      <c r="AF367" s="406"/>
      <c r="AH367" s="37"/>
      <c r="AL367" s="37"/>
    </row>
    <row r="368" spans="16:38" x14ac:dyDescent="0.3">
      <c r="P368" s="32"/>
      <c r="U368" s="37"/>
      <c r="V368" s="37"/>
      <c r="AB368" s="32"/>
      <c r="AF368" s="406"/>
      <c r="AH368" s="37"/>
      <c r="AL368" s="37"/>
    </row>
    <row r="369" spans="16:38" x14ac:dyDescent="0.3">
      <c r="P369" s="32"/>
      <c r="U369" s="37"/>
      <c r="V369" s="37"/>
      <c r="AB369" s="32"/>
      <c r="AF369" s="406"/>
      <c r="AH369" s="37"/>
      <c r="AL369" s="37"/>
    </row>
    <row r="370" spans="16:38" x14ac:dyDescent="0.3">
      <c r="P370" s="32"/>
      <c r="U370" s="37"/>
      <c r="V370" s="37"/>
      <c r="AB370" s="32"/>
      <c r="AF370" s="406"/>
      <c r="AH370" s="37"/>
      <c r="AL370" s="37"/>
    </row>
    <row r="371" spans="16:38" x14ac:dyDescent="0.3">
      <c r="P371" s="32"/>
      <c r="U371" s="37"/>
      <c r="V371" s="37"/>
      <c r="AB371" s="32"/>
      <c r="AF371" s="406"/>
      <c r="AH371" s="37"/>
      <c r="AL371" s="37"/>
    </row>
    <row r="372" spans="16:38" x14ac:dyDescent="0.3">
      <c r="P372" s="32"/>
      <c r="U372" s="37"/>
      <c r="V372" s="37"/>
      <c r="AB372" s="32"/>
      <c r="AF372" s="406"/>
      <c r="AH372" s="37"/>
      <c r="AL372" s="37"/>
    </row>
    <row r="373" spans="16:38" x14ac:dyDescent="0.3">
      <c r="P373" s="32"/>
      <c r="U373" s="37"/>
      <c r="V373" s="37"/>
      <c r="AB373" s="32"/>
      <c r="AF373" s="406"/>
      <c r="AH373" s="37"/>
      <c r="AL373" s="37"/>
    </row>
    <row r="374" spans="16:38" x14ac:dyDescent="0.3">
      <c r="P374" s="32"/>
      <c r="U374" s="37"/>
      <c r="V374" s="37"/>
      <c r="AB374" s="32"/>
      <c r="AF374" s="406"/>
      <c r="AH374" s="37"/>
      <c r="AL374" s="37"/>
    </row>
    <row r="375" spans="16:38" x14ac:dyDescent="0.3">
      <c r="P375" s="32"/>
      <c r="U375" s="37"/>
      <c r="V375" s="37"/>
      <c r="AB375" s="32"/>
      <c r="AF375" s="406"/>
      <c r="AH375" s="37"/>
      <c r="AL375" s="37"/>
    </row>
    <row r="376" spans="16:38" x14ac:dyDescent="0.3">
      <c r="P376" s="32"/>
      <c r="U376" s="37"/>
      <c r="V376" s="37"/>
      <c r="AB376" s="32"/>
      <c r="AF376" s="406"/>
      <c r="AH376" s="37"/>
      <c r="AL376" s="37"/>
    </row>
    <row r="377" spans="16:38" x14ac:dyDescent="0.3">
      <c r="P377" s="32"/>
      <c r="U377" s="37"/>
      <c r="V377" s="37"/>
      <c r="AB377" s="32"/>
      <c r="AF377" s="406"/>
      <c r="AH377" s="37"/>
      <c r="AL377" s="37"/>
    </row>
    <row r="378" spans="16:38" x14ac:dyDescent="0.3">
      <c r="P378" s="32"/>
      <c r="U378" s="37"/>
      <c r="V378" s="37"/>
      <c r="AB378" s="32"/>
      <c r="AF378" s="406"/>
      <c r="AH378" s="37"/>
      <c r="AL378" s="37"/>
    </row>
    <row r="379" spans="16:38" x14ac:dyDescent="0.3">
      <c r="P379" s="32"/>
      <c r="U379" s="37"/>
      <c r="V379" s="37"/>
      <c r="AB379" s="32"/>
      <c r="AF379" s="406"/>
      <c r="AH379" s="37"/>
      <c r="AL379" s="37"/>
    </row>
    <row r="380" spans="16:38" x14ac:dyDescent="0.3">
      <c r="P380" s="32"/>
      <c r="U380" s="37"/>
      <c r="V380" s="37"/>
      <c r="AB380" s="32"/>
      <c r="AF380" s="406"/>
      <c r="AH380" s="37"/>
      <c r="AL380" s="37"/>
    </row>
    <row r="381" spans="16:38" x14ac:dyDescent="0.3">
      <c r="P381" s="32"/>
      <c r="U381" s="37"/>
      <c r="V381" s="37"/>
      <c r="AB381" s="32"/>
      <c r="AF381" s="406"/>
      <c r="AH381" s="37"/>
      <c r="AL381" s="37"/>
    </row>
    <row r="382" spans="16:38" x14ac:dyDescent="0.3">
      <c r="P382" s="32"/>
      <c r="U382" s="37"/>
      <c r="V382" s="37"/>
      <c r="AB382" s="32"/>
      <c r="AF382" s="406"/>
      <c r="AH382" s="37"/>
      <c r="AL382" s="37"/>
    </row>
    <row r="383" spans="16:38" x14ac:dyDescent="0.3">
      <c r="P383" s="32"/>
      <c r="U383" s="37"/>
      <c r="V383" s="37"/>
      <c r="AB383" s="32"/>
      <c r="AF383" s="406"/>
      <c r="AH383" s="37"/>
      <c r="AL383" s="37"/>
    </row>
    <row r="384" spans="16:38" x14ac:dyDescent="0.3">
      <c r="P384" s="32"/>
      <c r="U384" s="37"/>
      <c r="V384" s="37"/>
      <c r="AB384" s="32"/>
      <c r="AF384" s="406"/>
      <c r="AH384" s="37"/>
      <c r="AL384" s="37"/>
    </row>
    <row r="385" spans="16:38" x14ac:dyDescent="0.3">
      <c r="P385" s="32"/>
      <c r="U385" s="37"/>
      <c r="V385" s="37"/>
      <c r="AB385" s="32"/>
      <c r="AF385" s="406"/>
      <c r="AH385" s="37"/>
      <c r="AL385" s="37"/>
    </row>
    <row r="386" spans="16:38" x14ac:dyDescent="0.3">
      <c r="P386" s="32"/>
      <c r="U386" s="37"/>
      <c r="V386" s="37"/>
      <c r="AB386" s="32"/>
      <c r="AF386" s="406"/>
      <c r="AH386" s="37"/>
      <c r="AL386" s="37"/>
    </row>
    <row r="387" spans="16:38" x14ac:dyDescent="0.3">
      <c r="P387" s="32"/>
      <c r="U387" s="37"/>
      <c r="V387" s="37"/>
      <c r="AB387" s="32"/>
      <c r="AF387" s="406"/>
      <c r="AH387" s="37"/>
      <c r="AL387" s="37"/>
    </row>
    <row r="388" spans="16:38" x14ac:dyDescent="0.3">
      <c r="P388" s="32"/>
      <c r="U388" s="37"/>
      <c r="V388" s="37"/>
      <c r="AB388" s="32"/>
      <c r="AF388" s="406"/>
      <c r="AH388" s="37"/>
      <c r="AL388" s="37"/>
    </row>
    <row r="389" spans="16:38" x14ac:dyDescent="0.3">
      <c r="P389" s="32"/>
      <c r="U389" s="37"/>
      <c r="V389" s="37"/>
      <c r="AB389" s="32"/>
      <c r="AF389" s="406"/>
      <c r="AH389" s="37"/>
      <c r="AL389" s="37"/>
    </row>
    <row r="390" spans="16:38" x14ac:dyDescent="0.3">
      <c r="P390" s="32"/>
      <c r="U390" s="37"/>
      <c r="V390" s="37"/>
      <c r="AB390" s="32"/>
      <c r="AF390" s="406"/>
      <c r="AH390" s="37"/>
      <c r="AL390" s="37"/>
    </row>
    <row r="391" spans="16:38" x14ac:dyDescent="0.3">
      <c r="P391" s="32"/>
      <c r="U391" s="37"/>
      <c r="V391" s="37"/>
      <c r="AB391" s="32"/>
      <c r="AF391" s="406"/>
      <c r="AH391" s="37"/>
      <c r="AL391" s="37"/>
    </row>
    <row r="392" spans="16:38" x14ac:dyDescent="0.3">
      <c r="P392" s="32"/>
      <c r="U392" s="37"/>
      <c r="V392" s="37"/>
      <c r="AB392" s="32"/>
      <c r="AF392" s="406"/>
      <c r="AH392" s="37"/>
      <c r="AL392" s="37"/>
    </row>
    <row r="393" spans="16:38" x14ac:dyDescent="0.3">
      <c r="P393" s="32"/>
      <c r="U393" s="37"/>
      <c r="V393" s="37"/>
      <c r="AB393" s="32"/>
      <c r="AF393" s="406"/>
      <c r="AH393" s="37"/>
      <c r="AL393" s="37"/>
    </row>
    <row r="394" spans="16:38" x14ac:dyDescent="0.3">
      <c r="P394" s="32"/>
      <c r="U394" s="37"/>
      <c r="V394" s="37"/>
      <c r="AB394" s="32"/>
      <c r="AF394" s="406"/>
      <c r="AH394" s="37"/>
      <c r="AL394" s="37"/>
    </row>
    <row r="395" spans="16:38" x14ac:dyDescent="0.3">
      <c r="P395" s="32"/>
      <c r="U395" s="37"/>
      <c r="V395" s="37"/>
      <c r="AB395" s="32"/>
      <c r="AF395" s="406"/>
      <c r="AH395" s="37"/>
      <c r="AL395" s="37"/>
    </row>
    <row r="396" spans="16:38" x14ac:dyDescent="0.3">
      <c r="P396" s="32"/>
      <c r="U396" s="37"/>
      <c r="V396" s="37"/>
      <c r="AB396" s="32"/>
      <c r="AF396" s="406"/>
      <c r="AH396" s="37"/>
      <c r="AL396" s="37"/>
    </row>
    <row r="397" spans="16:38" x14ac:dyDescent="0.3">
      <c r="P397" s="32"/>
      <c r="U397" s="37"/>
      <c r="V397" s="37"/>
      <c r="AB397" s="32"/>
      <c r="AF397" s="406"/>
      <c r="AH397" s="37"/>
      <c r="AL397" s="37"/>
    </row>
    <row r="398" spans="16:38" x14ac:dyDescent="0.3">
      <c r="P398" s="32"/>
      <c r="U398" s="37"/>
      <c r="V398" s="37"/>
      <c r="AB398" s="32"/>
      <c r="AF398" s="406"/>
      <c r="AH398" s="37"/>
      <c r="AL398" s="37"/>
    </row>
    <row r="399" spans="16:38" x14ac:dyDescent="0.3">
      <c r="P399" s="32"/>
      <c r="U399" s="37"/>
      <c r="V399" s="37"/>
      <c r="AB399" s="32"/>
      <c r="AF399" s="406"/>
      <c r="AH399" s="37"/>
      <c r="AL399" s="37"/>
    </row>
    <row r="400" spans="16:38" x14ac:dyDescent="0.3">
      <c r="P400" s="32"/>
      <c r="U400" s="37"/>
      <c r="V400" s="37"/>
      <c r="AB400" s="32"/>
      <c r="AF400" s="406"/>
      <c r="AH400" s="37"/>
      <c r="AL400" s="37"/>
    </row>
    <row r="401" spans="16:38" x14ac:dyDescent="0.3">
      <c r="P401" s="32"/>
      <c r="U401" s="37"/>
      <c r="V401" s="37"/>
      <c r="AB401" s="32"/>
      <c r="AF401" s="406"/>
      <c r="AH401" s="37"/>
      <c r="AL401" s="37"/>
    </row>
    <row r="402" spans="16:38" x14ac:dyDescent="0.3">
      <c r="P402" s="32"/>
      <c r="U402" s="37"/>
      <c r="V402" s="37"/>
      <c r="AB402" s="32"/>
      <c r="AF402" s="406"/>
      <c r="AH402" s="37"/>
      <c r="AL402" s="37"/>
    </row>
    <row r="403" spans="16:38" x14ac:dyDescent="0.3">
      <c r="P403" s="32"/>
      <c r="U403" s="37"/>
      <c r="V403" s="37"/>
      <c r="AB403" s="32"/>
      <c r="AF403" s="406"/>
      <c r="AH403" s="37"/>
      <c r="AL403" s="37"/>
    </row>
    <row r="404" spans="16:38" x14ac:dyDescent="0.3">
      <c r="P404" s="32"/>
      <c r="U404" s="37"/>
      <c r="V404" s="37"/>
      <c r="AB404" s="32"/>
      <c r="AF404" s="406"/>
      <c r="AH404" s="37"/>
      <c r="AL404" s="37"/>
    </row>
    <row r="405" spans="16:38" x14ac:dyDescent="0.3">
      <c r="P405" s="32"/>
      <c r="U405" s="37"/>
      <c r="V405" s="37"/>
      <c r="AB405" s="32"/>
      <c r="AF405" s="406"/>
      <c r="AH405" s="37"/>
      <c r="AL405" s="37"/>
    </row>
    <row r="406" spans="16:38" x14ac:dyDescent="0.3">
      <c r="P406" s="32"/>
      <c r="U406" s="37"/>
      <c r="V406" s="37"/>
      <c r="AB406" s="32"/>
      <c r="AF406" s="406"/>
      <c r="AH406" s="37"/>
      <c r="AL406" s="37"/>
    </row>
    <row r="407" spans="16:38" x14ac:dyDescent="0.3">
      <c r="P407" s="32"/>
      <c r="U407" s="37"/>
      <c r="V407" s="37"/>
      <c r="AB407" s="32"/>
      <c r="AF407" s="406"/>
      <c r="AH407" s="37"/>
      <c r="AL407" s="37"/>
    </row>
    <row r="408" spans="16:38" x14ac:dyDescent="0.3">
      <c r="P408" s="32"/>
      <c r="U408" s="37"/>
      <c r="V408" s="37"/>
      <c r="AB408" s="32"/>
      <c r="AF408" s="406"/>
      <c r="AH408" s="37"/>
      <c r="AL408" s="37"/>
    </row>
    <row r="409" spans="16:38" x14ac:dyDescent="0.3">
      <c r="P409" s="32"/>
      <c r="U409" s="37"/>
      <c r="V409" s="37"/>
      <c r="AB409" s="32"/>
      <c r="AF409" s="406"/>
      <c r="AH409" s="37"/>
      <c r="AL409" s="37"/>
    </row>
    <row r="410" spans="16:38" x14ac:dyDescent="0.3">
      <c r="P410" s="32"/>
      <c r="U410" s="37"/>
      <c r="V410" s="37"/>
      <c r="AB410" s="32"/>
      <c r="AF410" s="406"/>
      <c r="AH410" s="37"/>
      <c r="AL410" s="37"/>
    </row>
    <row r="411" spans="16:38" x14ac:dyDescent="0.3">
      <c r="P411" s="32"/>
      <c r="U411" s="37"/>
      <c r="V411" s="37"/>
      <c r="AB411" s="32"/>
      <c r="AF411" s="406"/>
      <c r="AH411" s="37"/>
      <c r="AL411" s="37"/>
    </row>
    <row r="412" spans="16:38" x14ac:dyDescent="0.3">
      <c r="P412" s="32"/>
      <c r="U412" s="37"/>
      <c r="V412" s="37"/>
      <c r="AB412" s="32"/>
      <c r="AF412" s="406"/>
      <c r="AH412" s="37"/>
      <c r="AL412" s="37"/>
    </row>
    <row r="413" spans="16:38" x14ac:dyDescent="0.3">
      <c r="P413" s="32"/>
      <c r="U413" s="37"/>
      <c r="V413" s="37"/>
      <c r="AB413" s="32"/>
      <c r="AF413" s="406"/>
      <c r="AH413" s="37"/>
      <c r="AL413" s="37"/>
    </row>
    <row r="414" spans="16:38" x14ac:dyDescent="0.3">
      <c r="P414" s="32"/>
      <c r="U414" s="37"/>
      <c r="V414" s="37"/>
      <c r="AB414" s="32"/>
      <c r="AF414" s="406"/>
      <c r="AH414" s="37"/>
      <c r="AL414" s="37"/>
    </row>
    <row r="415" spans="16:38" x14ac:dyDescent="0.3">
      <c r="P415" s="32"/>
      <c r="U415" s="37"/>
      <c r="V415" s="37"/>
      <c r="AB415" s="32"/>
      <c r="AF415" s="406"/>
      <c r="AH415" s="37"/>
      <c r="AL415" s="37"/>
    </row>
    <row r="416" spans="16:38" x14ac:dyDescent="0.3">
      <c r="P416" s="32"/>
      <c r="U416" s="37"/>
      <c r="V416" s="37"/>
      <c r="AB416" s="32"/>
      <c r="AF416" s="406"/>
      <c r="AH416" s="37"/>
      <c r="AL416" s="37"/>
    </row>
    <row r="417" spans="16:38" x14ac:dyDescent="0.3">
      <c r="P417" s="32"/>
      <c r="U417" s="37"/>
      <c r="V417" s="37"/>
      <c r="AB417" s="32"/>
      <c r="AF417" s="406"/>
      <c r="AH417" s="37"/>
      <c r="AL417" s="37"/>
    </row>
    <row r="418" spans="16:38" x14ac:dyDescent="0.3">
      <c r="P418" s="32"/>
      <c r="U418" s="37"/>
      <c r="V418" s="37"/>
      <c r="AB418" s="32"/>
      <c r="AF418" s="406"/>
      <c r="AH418" s="37"/>
      <c r="AL418" s="37"/>
    </row>
    <row r="419" spans="16:38" x14ac:dyDescent="0.3">
      <c r="P419" s="32"/>
      <c r="U419" s="37"/>
      <c r="V419" s="37"/>
      <c r="AB419" s="32"/>
      <c r="AF419" s="406"/>
      <c r="AH419" s="37"/>
      <c r="AL419" s="37"/>
    </row>
    <row r="420" spans="16:38" x14ac:dyDescent="0.3">
      <c r="P420" s="32"/>
      <c r="U420" s="37"/>
      <c r="V420" s="37"/>
      <c r="AB420" s="32"/>
      <c r="AF420" s="406"/>
      <c r="AH420" s="37"/>
      <c r="AL420" s="37"/>
    </row>
    <row r="421" spans="16:38" x14ac:dyDescent="0.3">
      <c r="P421" s="32"/>
      <c r="U421" s="37"/>
      <c r="V421" s="37"/>
      <c r="AB421" s="32"/>
      <c r="AF421" s="406"/>
      <c r="AH421" s="37"/>
      <c r="AL421" s="37"/>
    </row>
    <row r="422" spans="16:38" x14ac:dyDescent="0.3">
      <c r="P422" s="32"/>
      <c r="U422" s="37"/>
      <c r="V422" s="37"/>
      <c r="AB422" s="32"/>
      <c r="AF422" s="406"/>
      <c r="AH422" s="37"/>
      <c r="AL422" s="37"/>
    </row>
    <row r="423" spans="16:38" x14ac:dyDescent="0.3">
      <c r="P423" s="32"/>
      <c r="U423" s="37"/>
      <c r="V423" s="37"/>
      <c r="AB423" s="32"/>
      <c r="AF423" s="406"/>
      <c r="AH423" s="37"/>
      <c r="AL423" s="37"/>
    </row>
    <row r="424" spans="16:38" x14ac:dyDescent="0.3">
      <c r="P424" s="32"/>
      <c r="U424" s="37"/>
      <c r="V424" s="37"/>
      <c r="AB424" s="32"/>
      <c r="AF424" s="406"/>
      <c r="AH424" s="37"/>
      <c r="AL424" s="37"/>
    </row>
    <row r="425" spans="16:38" x14ac:dyDescent="0.3">
      <c r="P425" s="32"/>
      <c r="U425" s="37"/>
      <c r="V425" s="37"/>
      <c r="AB425" s="32"/>
      <c r="AF425" s="406"/>
      <c r="AH425" s="37"/>
      <c r="AL425" s="37"/>
    </row>
    <row r="426" spans="16:38" x14ac:dyDescent="0.3">
      <c r="P426" s="32"/>
      <c r="U426" s="37"/>
      <c r="V426" s="37"/>
      <c r="AB426" s="32"/>
      <c r="AF426" s="406"/>
      <c r="AH426" s="37"/>
      <c r="AL426" s="37"/>
    </row>
    <row r="427" spans="16:38" x14ac:dyDescent="0.3">
      <c r="P427" s="32"/>
      <c r="U427" s="37"/>
      <c r="V427" s="37"/>
      <c r="AB427" s="32"/>
      <c r="AF427" s="406"/>
      <c r="AH427" s="37"/>
      <c r="AL427" s="37"/>
    </row>
    <row r="428" spans="16:38" x14ac:dyDescent="0.3">
      <c r="P428" s="32"/>
      <c r="U428" s="37"/>
      <c r="V428" s="37"/>
      <c r="AB428" s="32"/>
      <c r="AF428" s="406"/>
      <c r="AH428" s="37"/>
      <c r="AL428" s="37"/>
    </row>
    <row r="429" spans="16:38" x14ac:dyDescent="0.3">
      <c r="P429" s="32"/>
      <c r="U429" s="37"/>
      <c r="V429" s="37"/>
      <c r="AB429" s="32"/>
      <c r="AF429" s="406"/>
      <c r="AH429" s="37"/>
      <c r="AL429" s="37"/>
    </row>
    <row r="430" spans="16:38" x14ac:dyDescent="0.3">
      <c r="P430" s="32"/>
      <c r="U430" s="37"/>
      <c r="V430" s="37"/>
      <c r="AB430" s="32"/>
      <c r="AF430" s="406"/>
      <c r="AH430" s="37"/>
      <c r="AL430" s="37"/>
    </row>
    <row r="431" spans="16:38" x14ac:dyDescent="0.3">
      <c r="P431" s="32"/>
      <c r="U431" s="37"/>
      <c r="V431" s="37"/>
      <c r="AB431" s="32"/>
      <c r="AF431" s="406"/>
      <c r="AH431" s="37"/>
      <c r="AL431" s="37"/>
    </row>
    <row r="432" spans="16:38" x14ac:dyDescent="0.3">
      <c r="P432" s="32"/>
      <c r="U432" s="37"/>
      <c r="V432" s="37"/>
      <c r="AB432" s="32"/>
      <c r="AF432" s="406"/>
      <c r="AH432" s="37"/>
      <c r="AL432" s="37"/>
    </row>
    <row r="433" spans="16:38" x14ac:dyDescent="0.3">
      <c r="P433" s="32"/>
      <c r="U433" s="37"/>
      <c r="V433" s="37"/>
      <c r="AB433" s="32"/>
      <c r="AF433" s="406"/>
      <c r="AH433" s="37"/>
      <c r="AL433" s="37"/>
    </row>
    <row r="434" spans="16:38" x14ac:dyDescent="0.3">
      <c r="P434" s="32"/>
      <c r="U434" s="37"/>
      <c r="V434" s="37"/>
      <c r="AB434" s="32"/>
      <c r="AF434" s="406"/>
      <c r="AH434" s="37"/>
      <c r="AL434" s="37"/>
    </row>
    <row r="435" spans="16:38" x14ac:dyDescent="0.3">
      <c r="P435" s="32"/>
      <c r="U435" s="37"/>
      <c r="V435" s="37"/>
      <c r="AB435" s="32"/>
      <c r="AF435" s="406"/>
      <c r="AH435" s="37"/>
      <c r="AL435" s="37"/>
    </row>
    <row r="436" spans="16:38" x14ac:dyDescent="0.3">
      <c r="P436" s="32"/>
      <c r="U436" s="37"/>
      <c r="V436" s="37"/>
      <c r="AB436" s="32"/>
      <c r="AF436" s="406"/>
      <c r="AH436" s="37"/>
      <c r="AL436" s="37"/>
    </row>
    <row r="437" spans="16:38" x14ac:dyDescent="0.3">
      <c r="P437" s="32"/>
      <c r="U437" s="37"/>
      <c r="V437" s="37"/>
      <c r="AB437" s="32"/>
      <c r="AF437" s="406"/>
      <c r="AH437" s="37"/>
      <c r="AL437" s="37"/>
    </row>
    <row r="438" spans="16:38" x14ac:dyDescent="0.3">
      <c r="P438" s="32"/>
      <c r="U438" s="37"/>
      <c r="V438" s="37"/>
      <c r="AB438" s="32"/>
      <c r="AF438" s="406"/>
      <c r="AH438" s="37"/>
      <c r="AL438" s="37"/>
    </row>
    <row r="439" spans="16:38" x14ac:dyDescent="0.3">
      <c r="P439" s="32"/>
      <c r="U439" s="37"/>
      <c r="V439" s="37"/>
      <c r="AB439" s="32"/>
      <c r="AF439" s="406"/>
      <c r="AH439" s="37"/>
      <c r="AL439" s="37"/>
    </row>
    <row r="440" spans="16:38" x14ac:dyDescent="0.3">
      <c r="P440" s="32"/>
      <c r="U440" s="37"/>
      <c r="V440" s="37"/>
      <c r="AB440" s="32"/>
      <c r="AF440" s="406"/>
      <c r="AH440" s="37"/>
      <c r="AL440" s="37"/>
    </row>
    <row r="441" spans="16:38" x14ac:dyDescent="0.3">
      <c r="P441" s="32"/>
      <c r="U441" s="37"/>
      <c r="V441" s="37"/>
      <c r="AB441" s="32"/>
      <c r="AF441" s="406"/>
      <c r="AH441" s="37"/>
      <c r="AL441" s="37"/>
    </row>
    <row r="442" spans="16:38" x14ac:dyDescent="0.3">
      <c r="P442" s="32"/>
      <c r="U442" s="37"/>
      <c r="V442" s="37"/>
      <c r="AB442" s="32"/>
      <c r="AF442" s="406"/>
      <c r="AH442" s="37"/>
      <c r="AL442" s="37"/>
    </row>
    <row r="443" spans="16:38" x14ac:dyDescent="0.3">
      <c r="P443" s="32"/>
      <c r="U443" s="37"/>
      <c r="V443" s="37"/>
      <c r="AB443" s="32"/>
      <c r="AF443" s="406"/>
      <c r="AH443" s="37"/>
      <c r="AL443" s="37"/>
    </row>
    <row r="444" spans="16:38" x14ac:dyDescent="0.3">
      <c r="P444" s="32"/>
      <c r="U444" s="37"/>
      <c r="V444" s="37"/>
      <c r="AB444" s="32"/>
      <c r="AF444" s="406"/>
      <c r="AH444" s="37"/>
      <c r="AL444" s="37"/>
    </row>
    <row r="445" spans="16:38" x14ac:dyDescent="0.3">
      <c r="P445" s="32"/>
      <c r="U445" s="37"/>
      <c r="V445" s="37"/>
      <c r="AB445" s="32"/>
      <c r="AF445" s="406"/>
      <c r="AH445" s="37"/>
      <c r="AL445" s="37"/>
    </row>
    <row r="446" spans="16:38" x14ac:dyDescent="0.3">
      <c r="P446" s="32"/>
      <c r="U446" s="37"/>
      <c r="V446" s="37"/>
      <c r="AB446" s="32"/>
      <c r="AF446" s="406"/>
      <c r="AH446" s="37"/>
      <c r="AL446" s="37"/>
    </row>
    <row r="447" spans="16:38" x14ac:dyDescent="0.3">
      <c r="P447" s="32"/>
      <c r="U447" s="37"/>
      <c r="V447" s="37"/>
      <c r="AB447" s="32"/>
      <c r="AF447" s="406"/>
      <c r="AH447" s="37"/>
      <c r="AL447" s="37"/>
    </row>
    <row r="448" spans="16:38" x14ac:dyDescent="0.3">
      <c r="P448" s="32"/>
      <c r="U448" s="37"/>
      <c r="V448" s="37"/>
      <c r="AB448" s="32"/>
      <c r="AF448" s="406"/>
      <c r="AH448" s="37"/>
      <c r="AL448" s="37"/>
    </row>
    <row r="449" spans="16:38" x14ac:dyDescent="0.3">
      <c r="P449" s="32"/>
      <c r="U449" s="37"/>
      <c r="V449" s="37"/>
      <c r="AB449" s="32"/>
      <c r="AF449" s="406"/>
      <c r="AH449" s="37"/>
      <c r="AL449" s="37"/>
    </row>
    <row r="450" spans="16:38" x14ac:dyDescent="0.3">
      <c r="P450" s="32"/>
      <c r="U450" s="37"/>
      <c r="V450" s="37"/>
      <c r="AB450" s="32"/>
      <c r="AF450" s="406"/>
      <c r="AH450" s="37"/>
      <c r="AL450" s="37"/>
    </row>
    <row r="451" spans="16:38" x14ac:dyDescent="0.3">
      <c r="P451" s="32"/>
      <c r="U451" s="37"/>
      <c r="V451" s="37"/>
      <c r="AB451" s="32"/>
      <c r="AF451" s="406"/>
      <c r="AH451" s="37"/>
      <c r="AL451" s="37"/>
    </row>
    <row r="452" spans="16:38" x14ac:dyDescent="0.3">
      <c r="P452" s="32"/>
      <c r="U452" s="37"/>
      <c r="V452" s="37"/>
      <c r="AB452" s="32"/>
      <c r="AF452" s="406"/>
      <c r="AH452" s="37"/>
      <c r="AL452" s="37"/>
    </row>
    <row r="453" spans="16:38" x14ac:dyDescent="0.3">
      <c r="P453" s="32"/>
      <c r="U453" s="37"/>
      <c r="V453" s="37"/>
      <c r="AB453" s="32"/>
      <c r="AF453" s="406"/>
      <c r="AH453" s="37"/>
      <c r="AL453" s="37"/>
    </row>
    <row r="454" spans="16:38" x14ac:dyDescent="0.3">
      <c r="P454" s="32"/>
      <c r="U454" s="37"/>
      <c r="V454" s="37"/>
      <c r="AB454" s="32"/>
      <c r="AF454" s="406"/>
      <c r="AH454" s="37"/>
      <c r="AL454" s="37"/>
    </row>
    <row r="455" spans="16:38" x14ac:dyDescent="0.3">
      <c r="P455" s="32"/>
      <c r="U455" s="37"/>
      <c r="V455" s="37"/>
      <c r="AB455" s="32"/>
      <c r="AF455" s="406"/>
      <c r="AH455" s="37"/>
      <c r="AL455" s="37"/>
    </row>
    <row r="456" spans="16:38" x14ac:dyDescent="0.3">
      <c r="P456" s="32"/>
      <c r="U456" s="37"/>
      <c r="V456" s="37"/>
      <c r="AB456" s="32"/>
      <c r="AF456" s="406"/>
      <c r="AH456" s="37"/>
      <c r="AL456" s="37"/>
    </row>
    <row r="457" spans="16:38" x14ac:dyDescent="0.3">
      <c r="P457" s="32"/>
      <c r="U457" s="37"/>
      <c r="V457" s="37"/>
      <c r="AB457" s="32"/>
      <c r="AF457" s="406"/>
      <c r="AH457" s="37"/>
      <c r="AL457" s="37"/>
    </row>
    <row r="458" spans="16:38" x14ac:dyDescent="0.3">
      <c r="P458" s="32"/>
      <c r="U458" s="37"/>
      <c r="V458" s="37"/>
      <c r="AB458" s="32"/>
      <c r="AF458" s="406"/>
      <c r="AH458" s="37"/>
      <c r="AL458" s="37"/>
    </row>
    <row r="459" spans="16:38" x14ac:dyDescent="0.3">
      <c r="P459" s="32"/>
      <c r="U459" s="37"/>
      <c r="V459" s="37"/>
      <c r="AB459" s="32"/>
      <c r="AF459" s="406"/>
      <c r="AH459" s="37"/>
      <c r="AL459" s="37"/>
    </row>
    <row r="460" spans="16:38" x14ac:dyDescent="0.3">
      <c r="P460" s="32"/>
      <c r="U460" s="37"/>
      <c r="V460" s="37"/>
      <c r="AB460" s="32"/>
      <c r="AF460" s="406"/>
      <c r="AH460" s="37"/>
      <c r="AL460" s="37"/>
    </row>
    <row r="461" spans="16:38" x14ac:dyDescent="0.3">
      <c r="P461" s="32"/>
      <c r="U461" s="37"/>
      <c r="V461" s="37"/>
      <c r="AB461" s="32"/>
      <c r="AF461" s="406"/>
      <c r="AH461" s="37"/>
      <c r="AL461" s="37"/>
    </row>
    <row r="462" spans="16:38" x14ac:dyDescent="0.3">
      <c r="P462" s="32"/>
      <c r="U462" s="37"/>
      <c r="V462" s="37"/>
      <c r="AB462" s="32"/>
      <c r="AF462" s="406"/>
      <c r="AH462" s="37"/>
      <c r="AL462" s="37"/>
    </row>
    <row r="463" spans="16:38" x14ac:dyDescent="0.3">
      <c r="P463" s="32"/>
      <c r="U463" s="37"/>
      <c r="V463" s="37"/>
      <c r="AB463" s="32"/>
      <c r="AF463" s="406"/>
      <c r="AH463" s="37"/>
      <c r="AL463" s="37"/>
    </row>
    <row r="464" spans="16:38" x14ac:dyDescent="0.3">
      <c r="P464" s="32"/>
      <c r="U464" s="37"/>
      <c r="V464" s="37"/>
      <c r="AB464" s="32"/>
      <c r="AF464" s="406"/>
      <c r="AH464" s="37"/>
      <c r="AL464" s="37"/>
    </row>
    <row r="465" spans="16:38" x14ac:dyDescent="0.3">
      <c r="P465" s="32"/>
      <c r="U465" s="37"/>
      <c r="V465" s="37"/>
      <c r="AB465" s="32"/>
      <c r="AF465" s="406"/>
      <c r="AH465" s="37"/>
      <c r="AL465" s="37"/>
    </row>
    <row r="466" spans="16:38" x14ac:dyDescent="0.3">
      <c r="P466" s="32"/>
      <c r="U466" s="37"/>
      <c r="V466" s="37"/>
      <c r="AB466" s="32"/>
      <c r="AF466" s="406"/>
      <c r="AH466" s="37"/>
      <c r="AL466" s="37"/>
    </row>
    <row r="467" spans="16:38" x14ac:dyDescent="0.3">
      <c r="P467" s="32"/>
      <c r="U467" s="37"/>
      <c r="V467" s="37"/>
      <c r="AB467" s="32"/>
      <c r="AF467" s="406"/>
      <c r="AH467" s="37"/>
      <c r="AL467" s="37"/>
    </row>
    <row r="468" spans="16:38" x14ac:dyDescent="0.3">
      <c r="P468" s="32"/>
      <c r="U468" s="37"/>
      <c r="V468" s="37"/>
      <c r="AB468" s="32"/>
      <c r="AF468" s="406"/>
      <c r="AH468" s="37"/>
      <c r="AL468" s="37"/>
    </row>
    <row r="469" spans="16:38" x14ac:dyDescent="0.3">
      <c r="P469" s="32"/>
      <c r="U469" s="37"/>
      <c r="V469" s="37"/>
      <c r="AB469" s="32"/>
      <c r="AF469" s="406"/>
      <c r="AH469" s="37"/>
      <c r="AL469" s="37"/>
    </row>
    <row r="470" spans="16:38" x14ac:dyDescent="0.3">
      <c r="P470" s="32"/>
      <c r="U470" s="37"/>
      <c r="V470" s="37"/>
      <c r="AB470" s="32"/>
      <c r="AF470" s="406"/>
      <c r="AH470" s="37"/>
      <c r="AL470" s="37"/>
    </row>
    <row r="471" spans="16:38" x14ac:dyDescent="0.3">
      <c r="P471" s="32"/>
      <c r="U471" s="37"/>
      <c r="V471" s="37"/>
      <c r="AB471" s="32"/>
      <c r="AF471" s="406"/>
      <c r="AH471" s="37"/>
      <c r="AL471" s="37"/>
    </row>
    <row r="472" spans="16:38" x14ac:dyDescent="0.3">
      <c r="P472" s="32"/>
      <c r="U472" s="37"/>
      <c r="V472" s="37"/>
      <c r="AB472" s="32"/>
      <c r="AF472" s="406"/>
      <c r="AH472" s="37"/>
      <c r="AL472" s="37"/>
    </row>
    <row r="473" spans="16:38" x14ac:dyDescent="0.3">
      <c r="P473" s="32"/>
      <c r="U473" s="37"/>
      <c r="V473" s="37"/>
      <c r="AB473" s="32"/>
      <c r="AF473" s="406"/>
      <c r="AH473" s="37"/>
      <c r="AL473" s="37"/>
    </row>
    <row r="474" spans="16:38" x14ac:dyDescent="0.3">
      <c r="P474" s="32"/>
      <c r="U474" s="37"/>
      <c r="V474" s="37"/>
      <c r="AB474" s="32"/>
      <c r="AF474" s="406"/>
      <c r="AH474" s="37"/>
      <c r="AL474" s="37"/>
    </row>
    <row r="475" spans="16:38" x14ac:dyDescent="0.3">
      <c r="P475" s="32"/>
      <c r="U475" s="37"/>
      <c r="V475" s="37"/>
      <c r="AB475" s="32"/>
      <c r="AF475" s="406"/>
      <c r="AH475" s="37"/>
      <c r="AL475" s="37"/>
    </row>
    <row r="476" spans="16:38" x14ac:dyDescent="0.3">
      <c r="P476" s="32"/>
      <c r="U476" s="37"/>
      <c r="V476" s="37"/>
      <c r="AB476" s="32"/>
      <c r="AF476" s="406"/>
      <c r="AH476" s="37"/>
      <c r="AL476" s="37"/>
    </row>
    <row r="477" spans="16:38" x14ac:dyDescent="0.3">
      <c r="P477" s="32"/>
      <c r="U477" s="37"/>
      <c r="V477" s="37"/>
      <c r="AB477" s="32"/>
      <c r="AF477" s="406"/>
      <c r="AH477" s="37"/>
      <c r="AL477" s="37"/>
    </row>
    <row r="478" spans="16:38" x14ac:dyDescent="0.3">
      <c r="P478" s="32"/>
      <c r="U478" s="37"/>
      <c r="V478" s="37"/>
      <c r="AB478" s="32"/>
      <c r="AF478" s="406"/>
      <c r="AH478" s="37"/>
      <c r="AL478" s="37"/>
    </row>
    <row r="479" spans="16:38" x14ac:dyDescent="0.3">
      <c r="P479" s="32"/>
      <c r="U479" s="37"/>
      <c r="V479" s="37"/>
      <c r="AB479" s="32"/>
      <c r="AF479" s="406"/>
      <c r="AH479" s="37"/>
      <c r="AL479" s="37"/>
    </row>
    <row r="480" spans="16:38" x14ac:dyDescent="0.3">
      <c r="P480" s="32"/>
      <c r="U480" s="37"/>
      <c r="V480" s="37"/>
      <c r="AB480" s="32"/>
      <c r="AF480" s="406"/>
      <c r="AH480" s="37"/>
      <c r="AL480" s="37"/>
    </row>
    <row r="481" spans="16:38" x14ac:dyDescent="0.3">
      <c r="P481" s="32"/>
      <c r="U481" s="37"/>
      <c r="V481" s="37"/>
      <c r="AB481" s="32"/>
      <c r="AF481" s="406"/>
      <c r="AH481" s="37"/>
      <c r="AL481" s="37"/>
    </row>
    <row r="482" spans="16:38" x14ac:dyDescent="0.3">
      <c r="P482" s="32"/>
      <c r="U482" s="37"/>
      <c r="V482" s="37"/>
      <c r="AB482" s="32"/>
      <c r="AF482" s="406"/>
      <c r="AH482" s="37"/>
      <c r="AL482" s="37"/>
    </row>
    <row r="483" spans="16:38" x14ac:dyDescent="0.3">
      <c r="P483" s="32"/>
      <c r="U483" s="37"/>
      <c r="V483" s="37"/>
      <c r="AB483" s="32"/>
      <c r="AF483" s="406"/>
      <c r="AH483" s="37"/>
      <c r="AL483" s="37"/>
    </row>
    <row r="484" spans="16:38" x14ac:dyDescent="0.3">
      <c r="P484" s="32"/>
      <c r="U484" s="37"/>
      <c r="V484" s="37"/>
      <c r="AB484" s="32"/>
      <c r="AF484" s="406"/>
      <c r="AH484" s="37"/>
      <c r="AL484" s="37"/>
    </row>
    <row r="485" spans="16:38" x14ac:dyDescent="0.3">
      <c r="P485" s="32"/>
      <c r="U485" s="37"/>
      <c r="V485" s="37"/>
      <c r="AB485" s="32"/>
      <c r="AF485" s="406"/>
      <c r="AH485" s="37"/>
      <c r="AL485" s="37"/>
    </row>
    <row r="486" spans="16:38" x14ac:dyDescent="0.3">
      <c r="P486" s="32"/>
      <c r="U486" s="37"/>
      <c r="V486" s="37"/>
      <c r="AB486" s="32"/>
      <c r="AF486" s="406"/>
      <c r="AH486" s="37"/>
      <c r="AL486" s="37"/>
    </row>
    <row r="487" spans="16:38" x14ac:dyDescent="0.3">
      <c r="P487" s="32"/>
      <c r="U487" s="37"/>
      <c r="V487" s="37"/>
      <c r="AB487" s="32"/>
      <c r="AF487" s="406"/>
      <c r="AH487" s="37"/>
      <c r="AL487" s="37"/>
    </row>
    <row r="488" spans="16:38" x14ac:dyDescent="0.3">
      <c r="P488" s="32"/>
      <c r="U488" s="37"/>
      <c r="V488" s="37"/>
      <c r="AB488" s="32"/>
      <c r="AF488" s="406"/>
      <c r="AH488" s="37"/>
      <c r="AL488" s="37"/>
    </row>
    <row r="489" spans="16:38" x14ac:dyDescent="0.3">
      <c r="P489" s="32"/>
      <c r="U489" s="37"/>
      <c r="V489" s="37"/>
      <c r="AB489" s="32"/>
      <c r="AF489" s="406"/>
      <c r="AH489" s="37"/>
      <c r="AL489" s="37"/>
    </row>
    <row r="490" spans="16:38" x14ac:dyDescent="0.3">
      <c r="P490" s="32"/>
      <c r="U490" s="37"/>
      <c r="V490" s="37"/>
      <c r="AB490" s="32"/>
      <c r="AF490" s="406"/>
      <c r="AH490" s="37"/>
      <c r="AL490" s="37"/>
    </row>
    <row r="491" spans="16:38" x14ac:dyDescent="0.3">
      <c r="P491" s="32"/>
      <c r="U491" s="37"/>
      <c r="V491" s="37"/>
      <c r="AB491" s="32"/>
      <c r="AF491" s="406"/>
      <c r="AH491" s="37"/>
      <c r="AL491" s="37"/>
    </row>
    <row r="492" spans="16:38" x14ac:dyDescent="0.3">
      <c r="P492" s="32"/>
      <c r="U492" s="37"/>
      <c r="V492" s="37"/>
      <c r="AB492" s="32"/>
      <c r="AF492" s="406"/>
      <c r="AH492" s="37"/>
      <c r="AL492" s="37"/>
    </row>
    <row r="493" spans="16:38" x14ac:dyDescent="0.3">
      <c r="P493" s="32"/>
      <c r="U493" s="37"/>
      <c r="V493" s="37"/>
      <c r="AB493" s="32"/>
      <c r="AF493" s="406"/>
      <c r="AH493" s="37"/>
      <c r="AL493" s="37"/>
    </row>
    <row r="494" spans="16:38" x14ac:dyDescent="0.3">
      <c r="P494" s="32"/>
      <c r="U494" s="37"/>
      <c r="V494" s="37"/>
      <c r="AB494" s="32"/>
      <c r="AF494" s="406"/>
      <c r="AH494" s="37"/>
      <c r="AL494" s="37"/>
    </row>
    <row r="495" spans="16:38" x14ac:dyDescent="0.3">
      <c r="P495" s="32"/>
      <c r="U495" s="37"/>
      <c r="V495" s="37"/>
      <c r="AB495" s="32"/>
      <c r="AF495" s="406"/>
      <c r="AH495" s="37"/>
      <c r="AL495" s="37"/>
    </row>
    <row r="496" spans="16:38" x14ac:dyDescent="0.3">
      <c r="P496" s="32"/>
      <c r="U496" s="37"/>
      <c r="V496" s="37"/>
      <c r="AB496" s="32"/>
      <c r="AF496" s="406"/>
      <c r="AH496" s="37"/>
      <c r="AL496" s="37"/>
    </row>
    <row r="497" spans="16:38" x14ac:dyDescent="0.3">
      <c r="P497" s="32"/>
      <c r="U497" s="37"/>
      <c r="V497" s="37"/>
      <c r="AB497" s="32"/>
      <c r="AF497" s="406"/>
      <c r="AH497" s="37"/>
      <c r="AL497" s="37"/>
    </row>
    <row r="498" spans="16:38" x14ac:dyDescent="0.3">
      <c r="P498" s="32"/>
      <c r="U498" s="37"/>
      <c r="V498" s="37"/>
      <c r="AB498" s="32"/>
      <c r="AF498" s="406"/>
      <c r="AH498" s="37"/>
      <c r="AL498" s="37"/>
    </row>
    <row r="499" spans="16:38" x14ac:dyDescent="0.3">
      <c r="P499" s="32"/>
      <c r="U499" s="37"/>
      <c r="V499" s="37"/>
      <c r="AB499" s="32"/>
      <c r="AF499" s="406"/>
      <c r="AH499" s="37"/>
      <c r="AL499" s="37"/>
    </row>
    <row r="500" spans="16:38" x14ac:dyDescent="0.3">
      <c r="P500" s="32"/>
      <c r="U500" s="37"/>
      <c r="V500" s="37"/>
      <c r="AB500" s="32"/>
      <c r="AF500" s="406"/>
      <c r="AH500" s="37"/>
      <c r="AL500" s="37"/>
    </row>
    <row r="501" spans="16:38" x14ac:dyDescent="0.3">
      <c r="P501" s="32"/>
      <c r="U501" s="37"/>
      <c r="V501" s="37"/>
      <c r="AB501" s="32"/>
      <c r="AF501" s="406"/>
      <c r="AH501" s="37"/>
      <c r="AL501" s="37"/>
    </row>
    <row r="502" spans="16:38" x14ac:dyDescent="0.3">
      <c r="P502" s="32"/>
      <c r="U502" s="37"/>
      <c r="V502" s="37"/>
      <c r="AB502" s="32"/>
      <c r="AF502" s="406"/>
      <c r="AH502" s="37"/>
      <c r="AL502" s="37"/>
    </row>
    <row r="503" spans="16:38" x14ac:dyDescent="0.3">
      <c r="P503" s="32"/>
      <c r="U503" s="37"/>
      <c r="V503" s="37"/>
      <c r="AB503" s="32"/>
      <c r="AF503" s="406"/>
      <c r="AH503" s="37"/>
      <c r="AL503" s="37"/>
    </row>
    <row r="504" spans="16:38" x14ac:dyDescent="0.3">
      <c r="P504" s="32"/>
      <c r="U504" s="37"/>
      <c r="V504" s="37"/>
      <c r="AB504" s="32"/>
      <c r="AF504" s="406"/>
      <c r="AH504" s="37"/>
      <c r="AL504" s="37"/>
    </row>
    <row r="505" spans="16:38" x14ac:dyDescent="0.3">
      <c r="P505" s="32"/>
      <c r="U505" s="37"/>
      <c r="V505" s="37"/>
      <c r="AB505" s="32"/>
      <c r="AF505" s="406"/>
      <c r="AH505" s="37"/>
      <c r="AL505" s="37"/>
    </row>
    <row r="506" spans="16:38" x14ac:dyDescent="0.3">
      <c r="P506" s="32"/>
      <c r="U506" s="37"/>
      <c r="V506" s="37"/>
      <c r="AB506" s="32"/>
      <c r="AF506" s="406"/>
      <c r="AH506" s="37"/>
      <c r="AL506" s="37"/>
    </row>
    <row r="507" spans="16:38" x14ac:dyDescent="0.3">
      <c r="P507" s="32"/>
      <c r="U507" s="37"/>
      <c r="V507" s="37"/>
      <c r="AB507" s="32"/>
      <c r="AF507" s="406"/>
      <c r="AH507" s="37"/>
      <c r="AL507" s="37"/>
    </row>
    <row r="508" spans="16:38" x14ac:dyDescent="0.3">
      <c r="P508" s="32"/>
      <c r="U508" s="37"/>
      <c r="V508" s="37"/>
      <c r="AB508" s="32"/>
      <c r="AF508" s="406"/>
      <c r="AH508" s="37"/>
      <c r="AL508" s="37"/>
    </row>
    <row r="509" spans="16:38" x14ac:dyDescent="0.3">
      <c r="P509" s="32"/>
      <c r="U509" s="37"/>
      <c r="V509" s="37"/>
      <c r="AB509" s="32"/>
      <c r="AF509" s="406"/>
      <c r="AH509" s="37"/>
      <c r="AL509" s="37"/>
    </row>
    <row r="510" spans="16:38" x14ac:dyDescent="0.3">
      <c r="P510" s="32"/>
      <c r="U510" s="37"/>
      <c r="V510" s="37"/>
      <c r="AB510" s="32"/>
      <c r="AF510" s="406"/>
      <c r="AH510" s="37"/>
      <c r="AL510" s="37"/>
    </row>
    <row r="511" spans="16:38" x14ac:dyDescent="0.3">
      <c r="P511" s="32"/>
      <c r="U511" s="37"/>
      <c r="V511" s="37"/>
      <c r="AB511" s="32"/>
      <c r="AF511" s="406"/>
      <c r="AH511" s="37"/>
      <c r="AL511" s="37"/>
    </row>
    <row r="512" spans="16:38" x14ac:dyDescent="0.3">
      <c r="P512" s="32"/>
      <c r="U512" s="37"/>
      <c r="V512" s="37"/>
      <c r="AB512" s="32"/>
      <c r="AF512" s="406"/>
      <c r="AH512" s="37"/>
      <c r="AL512" s="37"/>
    </row>
    <row r="513" spans="16:38" x14ac:dyDescent="0.3">
      <c r="P513" s="32"/>
      <c r="U513" s="37"/>
      <c r="V513" s="37"/>
      <c r="AB513" s="32"/>
      <c r="AF513" s="406"/>
      <c r="AH513" s="37"/>
      <c r="AL513" s="37"/>
    </row>
    <row r="514" spans="16:38" x14ac:dyDescent="0.3">
      <c r="P514" s="32"/>
      <c r="U514" s="37"/>
      <c r="V514" s="37"/>
      <c r="AB514" s="32"/>
      <c r="AF514" s="406"/>
      <c r="AH514" s="37"/>
      <c r="AL514" s="37"/>
    </row>
    <row r="515" spans="16:38" x14ac:dyDescent="0.3">
      <c r="P515" s="32"/>
      <c r="U515" s="37"/>
      <c r="V515" s="37"/>
      <c r="AB515" s="32"/>
      <c r="AF515" s="406"/>
      <c r="AH515" s="37"/>
      <c r="AL515" s="37"/>
    </row>
    <row r="516" spans="16:38" x14ac:dyDescent="0.3">
      <c r="P516" s="32"/>
      <c r="U516" s="37"/>
      <c r="V516" s="37"/>
      <c r="AB516" s="32"/>
      <c r="AF516" s="406"/>
      <c r="AH516" s="37"/>
      <c r="AL516" s="37"/>
    </row>
    <row r="517" spans="16:38" x14ac:dyDescent="0.3">
      <c r="P517" s="32"/>
      <c r="U517" s="37"/>
      <c r="V517" s="37"/>
      <c r="AB517" s="32"/>
      <c r="AF517" s="406"/>
      <c r="AH517" s="37"/>
      <c r="AL517" s="37"/>
    </row>
    <row r="518" spans="16:38" x14ac:dyDescent="0.3">
      <c r="P518" s="32"/>
      <c r="U518" s="37"/>
      <c r="V518" s="37"/>
      <c r="AB518" s="32"/>
      <c r="AF518" s="406"/>
      <c r="AH518" s="37"/>
      <c r="AL518" s="37"/>
    </row>
    <row r="519" spans="16:38" x14ac:dyDescent="0.3">
      <c r="P519" s="32"/>
      <c r="U519" s="37"/>
      <c r="V519" s="37"/>
      <c r="AB519" s="32"/>
      <c r="AF519" s="406"/>
      <c r="AH519" s="37"/>
      <c r="AL519" s="37"/>
    </row>
    <row r="520" spans="16:38" x14ac:dyDescent="0.3">
      <c r="P520" s="32"/>
      <c r="U520" s="37"/>
      <c r="V520" s="37"/>
      <c r="AB520" s="32"/>
      <c r="AF520" s="406"/>
      <c r="AH520" s="37"/>
      <c r="AL520" s="37"/>
    </row>
    <row r="521" spans="16:38" x14ac:dyDescent="0.3">
      <c r="P521" s="32"/>
      <c r="U521" s="37"/>
      <c r="V521" s="37"/>
      <c r="AB521" s="32"/>
      <c r="AF521" s="406"/>
      <c r="AH521" s="37"/>
      <c r="AL521" s="37"/>
    </row>
    <row r="522" spans="16:38" x14ac:dyDescent="0.3">
      <c r="P522" s="32"/>
      <c r="U522" s="37"/>
      <c r="V522" s="37"/>
      <c r="AB522" s="32"/>
      <c r="AF522" s="406"/>
      <c r="AH522" s="37"/>
      <c r="AL522" s="37"/>
    </row>
    <row r="523" spans="16:38" x14ac:dyDescent="0.3">
      <c r="P523" s="32"/>
      <c r="U523" s="37"/>
      <c r="V523" s="37"/>
      <c r="AB523" s="32"/>
      <c r="AF523" s="406"/>
      <c r="AH523" s="37"/>
      <c r="AL523" s="37"/>
    </row>
    <row r="524" spans="16:38" x14ac:dyDescent="0.3">
      <c r="P524" s="32"/>
      <c r="U524" s="37"/>
      <c r="V524" s="37"/>
      <c r="AB524" s="32"/>
      <c r="AF524" s="406"/>
      <c r="AH524" s="37"/>
      <c r="AL524" s="37"/>
    </row>
    <row r="525" spans="16:38" x14ac:dyDescent="0.3">
      <c r="P525" s="32"/>
      <c r="U525" s="37"/>
      <c r="V525" s="37"/>
      <c r="AB525" s="32"/>
      <c r="AF525" s="406"/>
      <c r="AH525" s="37"/>
      <c r="AL525" s="37"/>
    </row>
    <row r="526" spans="16:38" x14ac:dyDescent="0.3">
      <c r="P526" s="32"/>
      <c r="U526" s="37"/>
      <c r="V526" s="37"/>
      <c r="AB526" s="32"/>
      <c r="AF526" s="406"/>
      <c r="AH526" s="37"/>
      <c r="AL526" s="37"/>
    </row>
    <row r="527" spans="16:38" x14ac:dyDescent="0.3">
      <c r="P527" s="32"/>
      <c r="U527" s="37"/>
      <c r="V527" s="37"/>
      <c r="AB527" s="32"/>
      <c r="AF527" s="406"/>
      <c r="AH527" s="37"/>
      <c r="AL527" s="37"/>
    </row>
    <row r="528" spans="16:38" x14ac:dyDescent="0.3">
      <c r="P528" s="32"/>
      <c r="U528" s="37"/>
      <c r="V528" s="37"/>
      <c r="AB528" s="32"/>
      <c r="AF528" s="406"/>
      <c r="AH528" s="37"/>
      <c r="AL528" s="37"/>
    </row>
    <row r="529" spans="16:38" x14ac:dyDescent="0.3">
      <c r="P529" s="32"/>
      <c r="U529" s="37"/>
      <c r="V529" s="37"/>
      <c r="AB529" s="32"/>
      <c r="AF529" s="406"/>
      <c r="AH529" s="37"/>
      <c r="AL529" s="37"/>
    </row>
    <row r="530" spans="16:38" x14ac:dyDescent="0.3">
      <c r="P530" s="32"/>
      <c r="U530" s="37"/>
      <c r="V530" s="37"/>
      <c r="AB530" s="32"/>
      <c r="AF530" s="406"/>
      <c r="AH530" s="37"/>
      <c r="AL530" s="37"/>
    </row>
    <row r="531" spans="16:38" x14ac:dyDescent="0.3">
      <c r="P531" s="32"/>
      <c r="U531" s="37"/>
      <c r="V531" s="37"/>
      <c r="AB531" s="32"/>
      <c r="AF531" s="406"/>
      <c r="AH531" s="37"/>
      <c r="AL531" s="37"/>
    </row>
    <row r="532" spans="16:38" x14ac:dyDescent="0.3">
      <c r="P532" s="32"/>
      <c r="U532" s="37"/>
      <c r="V532" s="37"/>
      <c r="AB532" s="32"/>
      <c r="AF532" s="406"/>
      <c r="AH532" s="37"/>
      <c r="AL532" s="37"/>
    </row>
    <row r="533" spans="16:38" x14ac:dyDescent="0.3">
      <c r="P533" s="32"/>
      <c r="U533" s="37"/>
      <c r="V533" s="37"/>
      <c r="AB533" s="32"/>
      <c r="AF533" s="406"/>
      <c r="AH533" s="37"/>
      <c r="AL533" s="37"/>
    </row>
    <row r="534" spans="16:38" x14ac:dyDescent="0.3">
      <c r="P534" s="32"/>
      <c r="U534" s="37"/>
      <c r="V534" s="37"/>
      <c r="AB534" s="32"/>
      <c r="AF534" s="406"/>
      <c r="AH534" s="37"/>
      <c r="AL534" s="37"/>
    </row>
    <row r="535" spans="16:38" x14ac:dyDescent="0.3">
      <c r="P535" s="32"/>
      <c r="U535" s="37"/>
      <c r="V535" s="37"/>
      <c r="AB535" s="32"/>
      <c r="AF535" s="406"/>
      <c r="AH535" s="37"/>
      <c r="AL535" s="37"/>
    </row>
    <row r="536" spans="16:38" x14ac:dyDescent="0.3">
      <c r="P536" s="32"/>
      <c r="U536" s="37"/>
      <c r="V536" s="37"/>
      <c r="AB536" s="32"/>
      <c r="AF536" s="406"/>
      <c r="AH536" s="37"/>
      <c r="AL536" s="37"/>
    </row>
    <row r="537" spans="16:38" x14ac:dyDescent="0.3">
      <c r="P537" s="32"/>
      <c r="U537" s="37"/>
      <c r="V537" s="37"/>
      <c r="AB537" s="32"/>
      <c r="AF537" s="406"/>
      <c r="AH537" s="37"/>
      <c r="AL537" s="37"/>
    </row>
    <row r="538" spans="16:38" x14ac:dyDescent="0.3">
      <c r="P538" s="32"/>
      <c r="U538" s="37"/>
      <c r="V538" s="37"/>
      <c r="AB538" s="32"/>
      <c r="AF538" s="406"/>
      <c r="AH538" s="37"/>
      <c r="AL538" s="37"/>
    </row>
    <row r="539" spans="16:38" x14ac:dyDescent="0.3">
      <c r="P539" s="32"/>
      <c r="U539" s="37"/>
      <c r="V539" s="37"/>
      <c r="AB539" s="32"/>
      <c r="AF539" s="406"/>
      <c r="AH539" s="37"/>
      <c r="AL539" s="37"/>
    </row>
    <row r="540" spans="16:38" x14ac:dyDescent="0.3">
      <c r="P540" s="32"/>
      <c r="U540" s="37"/>
      <c r="V540" s="37"/>
      <c r="AB540" s="32"/>
      <c r="AF540" s="406"/>
      <c r="AH540" s="37"/>
      <c r="AL540" s="37"/>
    </row>
    <row r="541" spans="16:38" x14ac:dyDescent="0.3">
      <c r="P541" s="32"/>
      <c r="U541" s="37"/>
      <c r="V541" s="37"/>
      <c r="AB541" s="32"/>
      <c r="AF541" s="406"/>
      <c r="AH541" s="37"/>
      <c r="AL541" s="37"/>
    </row>
    <row r="542" spans="16:38" x14ac:dyDescent="0.3">
      <c r="P542" s="32"/>
      <c r="U542" s="37"/>
      <c r="V542" s="37"/>
      <c r="AB542" s="32"/>
      <c r="AF542" s="406"/>
      <c r="AH542" s="37"/>
      <c r="AL542" s="37"/>
    </row>
    <row r="543" spans="16:38" x14ac:dyDescent="0.3">
      <c r="P543" s="32"/>
      <c r="U543" s="37"/>
      <c r="V543" s="37"/>
      <c r="AB543" s="32"/>
      <c r="AF543" s="406"/>
      <c r="AH543" s="37"/>
      <c r="AL543" s="37"/>
    </row>
    <row r="544" spans="16:38" x14ac:dyDescent="0.3">
      <c r="P544" s="32"/>
      <c r="U544" s="37"/>
      <c r="V544" s="37"/>
      <c r="AB544" s="32"/>
      <c r="AF544" s="406"/>
      <c r="AH544" s="37"/>
      <c r="AL544" s="37"/>
    </row>
    <row r="545" spans="16:38" x14ac:dyDescent="0.3">
      <c r="P545" s="32"/>
      <c r="U545" s="37"/>
      <c r="V545" s="37"/>
      <c r="AB545" s="32"/>
      <c r="AF545" s="406"/>
      <c r="AH545" s="37"/>
      <c r="AL545" s="37"/>
    </row>
    <row r="546" spans="16:38" x14ac:dyDescent="0.3">
      <c r="P546" s="32"/>
      <c r="U546" s="37"/>
      <c r="V546" s="37"/>
      <c r="AB546" s="32"/>
      <c r="AF546" s="406"/>
      <c r="AH546" s="37"/>
      <c r="AL546" s="37"/>
    </row>
    <row r="547" spans="16:38" x14ac:dyDescent="0.3">
      <c r="P547" s="32"/>
      <c r="U547" s="37"/>
      <c r="V547" s="37"/>
      <c r="AB547" s="32"/>
      <c r="AF547" s="406"/>
      <c r="AH547" s="37"/>
      <c r="AL547" s="37"/>
    </row>
    <row r="548" spans="16:38" x14ac:dyDescent="0.3">
      <c r="P548" s="32"/>
      <c r="U548" s="37"/>
      <c r="V548" s="37"/>
      <c r="AB548" s="32"/>
      <c r="AF548" s="406"/>
      <c r="AH548" s="37"/>
      <c r="AL548" s="37"/>
    </row>
    <row r="549" spans="16:38" x14ac:dyDescent="0.3">
      <c r="P549" s="32"/>
      <c r="U549" s="37"/>
      <c r="V549" s="37"/>
      <c r="AB549" s="32"/>
      <c r="AF549" s="406"/>
      <c r="AH549" s="37"/>
      <c r="AL549" s="37"/>
    </row>
    <row r="550" spans="16:38" x14ac:dyDescent="0.3">
      <c r="P550" s="32"/>
      <c r="U550" s="37"/>
      <c r="V550" s="37"/>
      <c r="AB550" s="32"/>
      <c r="AF550" s="406"/>
      <c r="AH550" s="37"/>
      <c r="AL550" s="37"/>
    </row>
    <row r="551" spans="16:38" x14ac:dyDescent="0.3">
      <c r="P551" s="32"/>
      <c r="U551" s="37"/>
      <c r="V551" s="37"/>
      <c r="AB551" s="32"/>
      <c r="AF551" s="406"/>
      <c r="AH551" s="37"/>
      <c r="AL551" s="37"/>
    </row>
    <row r="552" spans="16:38" x14ac:dyDescent="0.3">
      <c r="P552" s="32"/>
      <c r="U552" s="37"/>
      <c r="V552" s="37"/>
      <c r="AB552" s="32"/>
      <c r="AF552" s="406"/>
      <c r="AH552" s="37"/>
      <c r="AL552" s="37"/>
    </row>
    <row r="553" spans="16:38" x14ac:dyDescent="0.3">
      <c r="P553" s="32"/>
      <c r="U553" s="37"/>
      <c r="V553" s="37"/>
      <c r="AB553" s="32"/>
      <c r="AF553" s="406"/>
      <c r="AH553" s="37"/>
      <c r="AL553" s="37"/>
    </row>
    <row r="554" spans="16:38" x14ac:dyDescent="0.3">
      <c r="P554" s="32"/>
      <c r="U554" s="37"/>
      <c r="V554" s="37"/>
      <c r="AB554" s="32"/>
      <c r="AF554" s="406"/>
      <c r="AH554" s="37"/>
      <c r="AL554" s="37"/>
    </row>
    <row r="555" spans="16:38" x14ac:dyDescent="0.3">
      <c r="P555" s="32"/>
      <c r="U555" s="37"/>
      <c r="V555" s="37"/>
      <c r="AB555" s="32"/>
      <c r="AF555" s="406"/>
      <c r="AH555" s="37"/>
      <c r="AL555" s="37"/>
    </row>
    <row r="556" spans="16:38" x14ac:dyDescent="0.3">
      <c r="P556" s="32"/>
      <c r="U556" s="37"/>
      <c r="V556" s="37"/>
      <c r="AB556" s="32"/>
      <c r="AF556" s="406"/>
      <c r="AH556" s="37"/>
      <c r="AL556" s="37"/>
    </row>
    <row r="557" spans="16:38" x14ac:dyDescent="0.3">
      <c r="P557" s="32"/>
      <c r="U557" s="37"/>
      <c r="V557" s="37"/>
      <c r="AB557" s="32"/>
      <c r="AF557" s="406"/>
      <c r="AH557" s="37"/>
      <c r="AL557" s="37"/>
    </row>
    <row r="558" spans="16:38" x14ac:dyDescent="0.3">
      <c r="P558" s="32"/>
      <c r="U558" s="37"/>
      <c r="V558" s="37"/>
      <c r="AB558" s="32"/>
      <c r="AF558" s="406"/>
      <c r="AH558" s="37"/>
      <c r="AL558" s="37"/>
    </row>
    <row r="559" spans="16:38" x14ac:dyDescent="0.3">
      <c r="P559" s="32"/>
      <c r="U559" s="37"/>
      <c r="V559" s="37"/>
      <c r="AB559" s="32"/>
      <c r="AF559" s="406"/>
      <c r="AH559" s="37"/>
      <c r="AL559" s="37"/>
    </row>
    <row r="560" spans="16:38" x14ac:dyDescent="0.3">
      <c r="P560" s="32"/>
      <c r="U560" s="37"/>
      <c r="V560" s="37"/>
      <c r="AB560" s="32"/>
      <c r="AF560" s="406"/>
      <c r="AH560" s="37"/>
      <c r="AL560" s="37"/>
    </row>
  </sheetData>
  <conditionalFormatting sqref="A1:L1 A2:G34">
    <cfRule type="cellIs" dxfId="3" priority="20" operator="equal">
      <formula>0</formula>
    </cfRule>
  </conditionalFormatting>
  <conditionalFormatting sqref="N2:BN12 A2:G34 M13:BN34">
    <cfRule type="containsBlanks" dxfId="2" priority="46">
      <formula>LEN(TRIM(A2))=0</formula>
    </cfRule>
  </conditionalFormatting>
  <conditionalFormatting sqref="P1:R1 AL1:BN1 P2:BN35 O36:BH560 P561:BN1048576">
    <cfRule type="cellIs" dxfId="1" priority="45" operator="equal">
      <formula>0</formula>
    </cfRule>
  </conditionalFormatting>
  <conditionalFormatting sqref="S1:AK1">
    <cfRule type="cellIs" dxfId="0" priority="1" operator="equal">
      <formula>0</formula>
    </cfRule>
  </conditionalFormatting>
  <pageMargins left="0.7" right="0.7" top="0.75" bottom="0.75" header="0.3" footer="0.3"/>
  <pageSetup paperSize="8" scale="38" orientation="landscape" horizont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02"/>
  <sheetViews>
    <sheetView topLeftCell="A5" zoomScale="90" zoomScaleNormal="90" workbookViewId="0">
      <selection activeCell="C64" sqref="C64"/>
    </sheetView>
  </sheetViews>
  <sheetFormatPr baseColWidth="10" defaultColWidth="29.6640625" defaultRowHeight="14.4" x14ac:dyDescent="0.3"/>
  <cols>
    <col min="1" max="1" width="23.109375" bestFit="1" customWidth="1"/>
    <col min="2" max="2" width="19.33203125" style="211" customWidth="1"/>
    <col min="3" max="3" width="9.5546875" bestFit="1" customWidth="1"/>
    <col min="4" max="4" width="12.44140625" bestFit="1" customWidth="1"/>
    <col min="5" max="5" width="7.109375" bestFit="1" customWidth="1"/>
    <col min="6" max="6" width="14.21875" bestFit="1" customWidth="1"/>
    <col min="7" max="7" width="9.77734375" bestFit="1" customWidth="1"/>
    <col min="8" max="8" width="10" bestFit="1" customWidth="1"/>
    <col min="9" max="9" width="9.77734375" bestFit="1" customWidth="1"/>
    <col min="10" max="10" width="10" bestFit="1" customWidth="1"/>
  </cols>
  <sheetData>
    <row r="1" spans="1:10" x14ac:dyDescent="0.3">
      <c r="A1" s="204" t="s">
        <v>191</v>
      </c>
      <c r="B1" s="204" t="s">
        <v>190</v>
      </c>
      <c r="C1" s="204" t="s">
        <v>188</v>
      </c>
      <c r="D1" s="204" t="s">
        <v>0</v>
      </c>
      <c r="E1" s="204" t="s">
        <v>1523</v>
      </c>
      <c r="F1" s="204" t="s">
        <v>1904</v>
      </c>
      <c r="G1" s="204" t="s">
        <v>1707</v>
      </c>
      <c r="H1" s="204" t="s">
        <v>1708</v>
      </c>
      <c r="I1" s="204" t="s">
        <v>139</v>
      </c>
      <c r="J1" s="204" t="s">
        <v>140</v>
      </c>
    </row>
    <row r="2" spans="1:10" x14ac:dyDescent="0.3">
      <c r="A2" s="205" t="s">
        <v>658</v>
      </c>
      <c r="B2" s="206" t="s">
        <v>659</v>
      </c>
      <c r="C2" s="207" t="s">
        <v>1720</v>
      </c>
      <c r="D2" s="205" t="s">
        <v>3</v>
      </c>
      <c r="E2" s="205" t="s">
        <v>1525</v>
      </c>
      <c r="F2" s="205" t="s">
        <v>661</v>
      </c>
      <c r="G2" s="208">
        <v>-19.308567255719442</v>
      </c>
      <c r="H2" s="208">
        <v>8.3722060678195991</v>
      </c>
      <c r="I2" s="208">
        <v>43.627094368962673</v>
      </c>
      <c r="J2" s="208">
        <v>9.8411548541515632</v>
      </c>
    </row>
    <row r="3" spans="1:10" x14ac:dyDescent="0.3">
      <c r="A3" s="205" t="s">
        <v>662</v>
      </c>
      <c r="B3" s="206" t="s">
        <v>659</v>
      </c>
      <c r="C3" s="207" t="s">
        <v>1720</v>
      </c>
      <c r="D3" s="205" t="s">
        <v>3</v>
      </c>
      <c r="E3" s="205" t="s">
        <v>168</v>
      </c>
      <c r="F3" s="205" t="s">
        <v>663</v>
      </c>
      <c r="G3" s="208">
        <v>-19.383997461632053</v>
      </c>
      <c r="H3" s="208">
        <v>8.7609753714893674</v>
      </c>
      <c r="I3" s="208">
        <v>21.481059516075863</v>
      </c>
      <c r="J3" s="208">
        <v>10.544075685527265</v>
      </c>
    </row>
    <row r="4" spans="1:10" x14ac:dyDescent="0.3">
      <c r="A4" s="205" t="s">
        <v>664</v>
      </c>
      <c r="B4" s="206" t="s">
        <v>659</v>
      </c>
      <c r="C4" s="207" t="s">
        <v>1720</v>
      </c>
      <c r="D4" s="205" t="s">
        <v>3</v>
      </c>
      <c r="E4" s="205" t="s">
        <v>168</v>
      </c>
      <c r="F4" s="205" t="s">
        <v>665</v>
      </c>
      <c r="G4" s="208">
        <v>-19.219460937696525</v>
      </c>
      <c r="H4" s="208">
        <v>7.1604618304694281</v>
      </c>
      <c r="I4" s="208">
        <v>34.351342778932569</v>
      </c>
      <c r="J4" s="208">
        <v>5.5878559832042924</v>
      </c>
    </row>
    <row r="5" spans="1:10" x14ac:dyDescent="0.3">
      <c r="A5" s="205" t="s">
        <v>666</v>
      </c>
      <c r="B5" s="206" t="s">
        <v>659</v>
      </c>
      <c r="C5" s="207" t="s">
        <v>1720</v>
      </c>
      <c r="D5" s="205" t="s">
        <v>3</v>
      </c>
      <c r="E5" s="205" t="s">
        <v>667</v>
      </c>
      <c r="F5" s="205" t="s">
        <v>668</v>
      </c>
      <c r="G5" s="208">
        <v>-20.304077794984025</v>
      </c>
      <c r="H5" s="208">
        <v>7.0349309734955447</v>
      </c>
      <c r="I5" s="208">
        <v>29.505311580197446</v>
      </c>
      <c r="J5" s="208">
        <v>4.840776385727791</v>
      </c>
    </row>
    <row r="6" spans="1:10" x14ac:dyDescent="0.3">
      <c r="A6" s="205" t="s">
        <v>669</v>
      </c>
      <c r="B6" s="206" t="s">
        <v>659</v>
      </c>
      <c r="C6" s="207" t="s">
        <v>1719</v>
      </c>
      <c r="D6" s="205" t="s">
        <v>3</v>
      </c>
      <c r="E6" s="205" t="s">
        <v>1525</v>
      </c>
      <c r="F6" s="205" t="s">
        <v>670</v>
      </c>
      <c r="G6" s="208">
        <v>-18.55861333497305</v>
      </c>
      <c r="H6" s="208">
        <v>9.7048686313385879</v>
      </c>
      <c r="I6" s="208">
        <v>46.273749222234869</v>
      </c>
      <c r="J6" s="208">
        <v>12.230967353214051</v>
      </c>
    </row>
    <row r="7" spans="1:10" x14ac:dyDescent="0.3">
      <c r="A7" s="205" t="s">
        <v>671</v>
      </c>
      <c r="B7" s="206" t="s">
        <v>659</v>
      </c>
      <c r="C7" s="207" t="s">
        <v>1719</v>
      </c>
      <c r="D7" s="205" t="s">
        <v>3</v>
      </c>
      <c r="E7" s="205" t="s">
        <v>168</v>
      </c>
      <c r="F7" s="205" t="s">
        <v>672</v>
      </c>
      <c r="G7" s="208">
        <v>-18.141515747415433</v>
      </c>
      <c r="H7" s="208">
        <v>9.4021136740531759</v>
      </c>
      <c r="I7" s="208">
        <v>47.400830337823805</v>
      </c>
      <c r="J7" s="208">
        <v>13.419521068990795</v>
      </c>
    </row>
    <row r="8" spans="1:10" x14ac:dyDescent="0.3">
      <c r="A8" s="205" t="s">
        <v>673</v>
      </c>
      <c r="B8" s="206" t="s">
        <v>659</v>
      </c>
      <c r="C8" s="207" t="s">
        <v>1719</v>
      </c>
      <c r="D8" s="205" t="s">
        <v>3</v>
      </c>
      <c r="E8" s="205" t="s">
        <v>168</v>
      </c>
      <c r="F8" s="205" t="s">
        <v>674</v>
      </c>
      <c r="G8" s="208">
        <v>-18.507849762400287</v>
      </c>
      <c r="H8" s="208">
        <v>9.1699605521838095</v>
      </c>
      <c r="I8" s="208">
        <v>48.471673366809242</v>
      </c>
      <c r="J8" s="208">
        <v>12.568875703607649</v>
      </c>
    </row>
    <row r="9" spans="1:10" x14ac:dyDescent="0.3">
      <c r="A9" s="205" t="s">
        <v>675</v>
      </c>
      <c r="B9" s="206" t="s">
        <v>659</v>
      </c>
      <c r="C9" s="207" t="s">
        <v>1719</v>
      </c>
      <c r="D9" s="205" t="s">
        <v>3</v>
      </c>
      <c r="E9" s="205" t="s">
        <v>676</v>
      </c>
      <c r="F9" s="205" t="s">
        <v>677</v>
      </c>
      <c r="G9" s="208">
        <v>-17.383307954675409</v>
      </c>
      <c r="H9" s="208">
        <v>10.543859941161813</v>
      </c>
      <c r="I9" s="208">
        <v>41.450900392773669</v>
      </c>
      <c r="J9" s="208">
        <v>10.841209928194443</v>
      </c>
    </row>
    <row r="10" spans="1:10" x14ac:dyDescent="0.3">
      <c r="A10" s="205" t="s">
        <v>678</v>
      </c>
      <c r="B10" s="206" t="s">
        <v>679</v>
      </c>
      <c r="C10" s="207" t="s">
        <v>1720</v>
      </c>
      <c r="D10" s="205" t="s">
        <v>14</v>
      </c>
      <c r="E10" s="205" t="s">
        <v>1905</v>
      </c>
      <c r="F10" s="205" t="s">
        <v>680</v>
      </c>
      <c r="G10" s="208">
        <v>-22.685485573103097</v>
      </c>
      <c r="H10" s="208">
        <v>8.6276310482269594</v>
      </c>
      <c r="I10" s="208">
        <v>40.827379832480318</v>
      </c>
      <c r="J10" s="208">
        <v>9.3204758046298277</v>
      </c>
    </row>
    <row r="11" spans="1:10" x14ac:dyDescent="0.3">
      <c r="A11" s="205" t="s">
        <v>681</v>
      </c>
      <c r="B11" s="206" t="s">
        <v>679</v>
      </c>
      <c r="C11" s="207" t="s">
        <v>1720</v>
      </c>
      <c r="D11" s="205" t="s">
        <v>14</v>
      </c>
      <c r="E11" s="205" t="s">
        <v>1905</v>
      </c>
      <c r="F11" s="205" t="s">
        <v>682</v>
      </c>
      <c r="G11" s="208">
        <v>-22.270788760771818</v>
      </c>
      <c r="H11" s="208">
        <v>9.4515041270267091</v>
      </c>
      <c r="I11" s="208">
        <v>44.126116344807649</v>
      </c>
      <c r="J11" s="208">
        <v>11.502668778709682</v>
      </c>
    </row>
    <row r="12" spans="1:10" x14ac:dyDescent="0.3">
      <c r="A12" s="205" t="s">
        <v>683</v>
      </c>
      <c r="B12" s="206" t="s">
        <v>679</v>
      </c>
      <c r="C12" s="207" t="s">
        <v>1720</v>
      </c>
      <c r="D12" s="205" t="s">
        <v>14</v>
      </c>
      <c r="E12" s="173" t="s">
        <v>165</v>
      </c>
      <c r="F12" s="205" t="s">
        <v>685</v>
      </c>
      <c r="G12" s="208">
        <v>-22.720784013828201</v>
      </c>
      <c r="H12" s="208">
        <v>8.7790536405905524</v>
      </c>
      <c r="I12" s="208">
        <v>40.072933634141599</v>
      </c>
      <c r="J12" s="208">
        <v>7.9825852821396825</v>
      </c>
    </row>
    <row r="13" spans="1:10" x14ac:dyDescent="0.3">
      <c r="A13" s="205" t="s">
        <v>686</v>
      </c>
      <c r="B13" s="206" t="s">
        <v>679</v>
      </c>
      <c r="C13" s="207" t="s">
        <v>1720</v>
      </c>
      <c r="D13" s="205" t="s">
        <v>14</v>
      </c>
      <c r="E13" s="173" t="s">
        <v>165</v>
      </c>
      <c r="F13" s="205" t="s">
        <v>687</v>
      </c>
      <c r="G13" s="209">
        <v>-21.513585008461497</v>
      </c>
      <c r="H13" s="209">
        <v>9.8415214878110771</v>
      </c>
      <c r="I13" s="209">
        <v>44.078559338680343</v>
      </c>
      <c r="J13" s="209">
        <v>11.085235992352393</v>
      </c>
    </row>
    <row r="14" spans="1:10" x14ac:dyDescent="0.3">
      <c r="A14" s="205" t="s">
        <v>688</v>
      </c>
      <c r="B14" s="206" t="s">
        <v>679</v>
      </c>
      <c r="C14" s="207" t="s">
        <v>1720</v>
      </c>
      <c r="D14" s="205" t="s">
        <v>14</v>
      </c>
      <c r="E14" s="205" t="s">
        <v>689</v>
      </c>
      <c r="F14" s="205" t="s">
        <v>690</v>
      </c>
      <c r="G14" s="209">
        <v>-21.266684414196959</v>
      </c>
      <c r="H14" s="209">
        <v>8.2522651114857393</v>
      </c>
      <c r="I14" s="209">
        <v>38.768709809941285</v>
      </c>
      <c r="J14" s="209">
        <v>9.2558526886623866</v>
      </c>
    </row>
    <row r="15" spans="1:10" x14ac:dyDescent="0.3">
      <c r="A15" s="205" t="s">
        <v>691</v>
      </c>
      <c r="B15" s="206" t="s">
        <v>679</v>
      </c>
      <c r="C15" s="207" t="s">
        <v>1720</v>
      </c>
      <c r="D15" s="205" t="s">
        <v>14</v>
      </c>
      <c r="E15" s="205" t="s">
        <v>689</v>
      </c>
      <c r="F15" s="205" t="s">
        <v>692</v>
      </c>
      <c r="G15" s="208">
        <v>-20.426609819196436</v>
      </c>
      <c r="H15" s="208">
        <v>9.2031182955849893</v>
      </c>
      <c r="I15" s="208">
        <v>42.145622565592731</v>
      </c>
      <c r="J15" s="208">
        <v>11.590386506582661</v>
      </c>
    </row>
    <row r="16" spans="1:10" x14ac:dyDescent="0.3">
      <c r="A16" s="205" t="s">
        <v>693</v>
      </c>
      <c r="B16" s="206" t="s">
        <v>679</v>
      </c>
      <c r="C16" s="207" t="s">
        <v>1720</v>
      </c>
      <c r="D16" s="205" t="s">
        <v>13</v>
      </c>
      <c r="E16" s="205" t="s">
        <v>694</v>
      </c>
      <c r="F16" s="205" t="s">
        <v>695</v>
      </c>
      <c r="G16" s="208">
        <v>-20.250294432178187</v>
      </c>
      <c r="H16" s="208">
        <v>9.5456705987914745</v>
      </c>
      <c r="I16" s="208">
        <v>38.666367420622599</v>
      </c>
      <c r="J16" s="208">
        <v>10.484181028253033</v>
      </c>
    </row>
    <row r="17" spans="1:10" x14ac:dyDescent="0.3">
      <c r="A17" s="205" t="s">
        <v>696</v>
      </c>
      <c r="B17" s="206" t="s">
        <v>679</v>
      </c>
      <c r="C17" s="207" t="s">
        <v>1720</v>
      </c>
      <c r="D17" s="205" t="s">
        <v>13</v>
      </c>
      <c r="E17" s="205" t="s">
        <v>694</v>
      </c>
      <c r="F17" s="205" t="s">
        <v>697</v>
      </c>
      <c r="G17" s="208">
        <v>-19.880912635494511</v>
      </c>
      <c r="H17" s="208">
        <v>10.278812556904978</v>
      </c>
      <c r="I17" s="208">
        <v>41.937996276022417</v>
      </c>
      <c r="J17" s="208">
        <v>12.123044569274033</v>
      </c>
    </row>
    <row r="18" spans="1:10" x14ac:dyDescent="0.3">
      <c r="A18" s="205" t="s">
        <v>698</v>
      </c>
      <c r="B18" s="206" t="s">
        <v>679</v>
      </c>
      <c r="C18" s="207" t="s">
        <v>1719</v>
      </c>
      <c r="D18" s="205" t="s">
        <v>14</v>
      </c>
      <c r="E18" s="205" t="s">
        <v>1905</v>
      </c>
      <c r="F18" s="205" t="s">
        <v>699</v>
      </c>
      <c r="G18" s="208">
        <v>-22.359043292369176</v>
      </c>
      <c r="H18" s="208">
        <v>9.9229903291063177</v>
      </c>
      <c r="I18" s="208">
        <v>41.729136309395457</v>
      </c>
      <c r="J18" s="208">
        <v>9.0383563155241173</v>
      </c>
    </row>
    <row r="19" spans="1:10" x14ac:dyDescent="0.3">
      <c r="A19" s="205" t="s">
        <v>700</v>
      </c>
      <c r="B19" s="206" t="s">
        <v>679</v>
      </c>
      <c r="C19" s="207" t="s">
        <v>1719</v>
      </c>
      <c r="D19" s="205" t="s">
        <v>14</v>
      </c>
      <c r="E19" s="173" t="s">
        <v>165</v>
      </c>
      <c r="F19" s="205" t="s">
        <v>701</v>
      </c>
      <c r="G19" s="208">
        <v>-21.639189055662854</v>
      </c>
      <c r="H19" s="208">
        <v>9.5017645512632285</v>
      </c>
      <c r="I19" s="208">
        <v>39.876220472923208</v>
      </c>
      <c r="J19" s="208">
        <v>6.6108707460613632</v>
      </c>
    </row>
    <row r="20" spans="1:10" x14ac:dyDescent="0.3">
      <c r="A20" s="205" t="s">
        <v>702</v>
      </c>
      <c r="B20" s="206" t="s">
        <v>679</v>
      </c>
      <c r="C20" s="207" t="s">
        <v>1719</v>
      </c>
      <c r="D20" s="205" t="s">
        <v>14</v>
      </c>
      <c r="E20" s="173" t="s">
        <v>165</v>
      </c>
      <c r="F20" s="205" t="s">
        <v>703</v>
      </c>
      <c r="G20" s="208">
        <v>-20.673341302041344</v>
      </c>
      <c r="H20" s="208">
        <v>10.048462680746184</v>
      </c>
      <c r="I20" s="208">
        <v>45.125682542813713</v>
      </c>
      <c r="J20" s="208">
        <v>12.620484770874905</v>
      </c>
    </row>
    <row r="21" spans="1:10" x14ac:dyDescent="0.3">
      <c r="A21" s="205" t="s">
        <v>704</v>
      </c>
      <c r="B21" s="206" t="s">
        <v>679</v>
      </c>
      <c r="C21" s="207" t="s">
        <v>1719</v>
      </c>
      <c r="D21" s="205" t="s">
        <v>14</v>
      </c>
      <c r="E21" s="205" t="s">
        <v>689</v>
      </c>
      <c r="F21" s="205" t="s">
        <v>705</v>
      </c>
      <c r="G21" s="208">
        <v>-19.790963386072942</v>
      </c>
      <c r="H21" s="208">
        <v>9.7497708530701566</v>
      </c>
      <c r="I21" s="208">
        <v>42.872508849835754</v>
      </c>
      <c r="J21" s="208">
        <v>10.15186954708774</v>
      </c>
    </row>
    <row r="22" spans="1:10" x14ac:dyDescent="0.3">
      <c r="A22" s="205" t="s">
        <v>706</v>
      </c>
      <c r="B22" s="206" t="s">
        <v>679</v>
      </c>
      <c r="C22" s="207" t="s">
        <v>1719</v>
      </c>
      <c r="D22" s="205" t="s">
        <v>14</v>
      </c>
      <c r="E22" s="205" t="s">
        <v>689</v>
      </c>
      <c r="F22" s="205" t="s">
        <v>707</v>
      </c>
      <c r="G22" s="208">
        <v>-19.108796606532326</v>
      </c>
      <c r="H22" s="208">
        <v>10.017049003720501</v>
      </c>
      <c r="I22" s="208">
        <v>43.870026899870687</v>
      </c>
      <c r="J22" s="208">
        <v>12.104424064415051</v>
      </c>
    </row>
    <row r="23" spans="1:10" x14ac:dyDescent="0.3">
      <c r="A23" s="205" t="s">
        <v>708</v>
      </c>
      <c r="B23" s="206" t="s">
        <v>679</v>
      </c>
      <c r="C23" s="207" t="s">
        <v>1719</v>
      </c>
      <c r="D23" s="205" t="s">
        <v>14</v>
      </c>
      <c r="E23" s="205" t="s">
        <v>709</v>
      </c>
      <c r="F23" s="205" t="s">
        <v>710</v>
      </c>
      <c r="G23" s="208">
        <v>-19.556290183532798</v>
      </c>
      <c r="H23" s="208">
        <v>10.427046661084109</v>
      </c>
      <c r="I23" s="208">
        <v>46.151857648993378</v>
      </c>
      <c r="J23" s="208">
        <v>12.050090473776448</v>
      </c>
    </row>
    <row r="24" spans="1:10" x14ac:dyDescent="0.3">
      <c r="A24" s="205" t="s">
        <v>711</v>
      </c>
      <c r="B24" s="206" t="s">
        <v>712</v>
      </c>
      <c r="C24" s="207" t="s">
        <v>1719</v>
      </c>
      <c r="D24" s="205" t="s">
        <v>3</v>
      </c>
      <c r="E24" s="205" t="s">
        <v>1906</v>
      </c>
      <c r="F24" s="205" t="s">
        <v>713</v>
      </c>
      <c r="G24" s="208">
        <v>-17.802657881817737</v>
      </c>
      <c r="H24" s="208">
        <v>8.5530802006445974</v>
      </c>
      <c r="I24" s="208">
        <v>38.831981980999046</v>
      </c>
      <c r="J24" s="208">
        <v>11.267813937177019</v>
      </c>
    </row>
    <row r="25" spans="1:10" x14ac:dyDescent="0.3">
      <c r="A25" s="205" t="s">
        <v>714</v>
      </c>
      <c r="B25" s="206" t="s">
        <v>712</v>
      </c>
      <c r="C25" s="207" t="s">
        <v>1719</v>
      </c>
      <c r="D25" s="205" t="s">
        <v>3</v>
      </c>
      <c r="E25" s="205" t="s">
        <v>676</v>
      </c>
      <c r="F25" s="205" t="s">
        <v>715</v>
      </c>
      <c r="G25" s="208">
        <v>-17.638353469864487</v>
      </c>
      <c r="H25" s="208">
        <v>10.024675061161194</v>
      </c>
      <c r="I25" s="208">
        <v>46.210112602835032</v>
      </c>
      <c r="J25" s="208">
        <v>11.653823154797925</v>
      </c>
    </row>
    <row r="26" spans="1:10" x14ac:dyDescent="0.3">
      <c r="A26" s="205" t="s">
        <v>716</v>
      </c>
      <c r="B26" s="206" t="s">
        <v>717</v>
      </c>
      <c r="C26" s="207" t="s">
        <v>1719</v>
      </c>
      <c r="D26" s="205" t="s">
        <v>14</v>
      </c>
      <c r="E26" s="205" t="s">
        <v>689</v>
      </c>
      <c r="F26" s="205" t="s">
        <v>719</v>
      </c>
      <c r="G26" s="208">
        <v>-17.684070812770162</v>
      </c>
      <c r="H26" s="208">
        <v>14.712037926006953</v>
      </c>
      <c r="I26" s="208">
        <v>45.471540532376402</v>
      </c>
      <c r="J26" s="208">
        <v>13.479603939092113</v>
      </c>
    </row>
    <row r="27" spans="1:10" x14ac:dyDescent="0.3">
      <c r="A27" s="205" t="s">
        <v>720</v>
      </c>
      <c r="B27" s="206" t="s">
        <v>717</v>
      </c>
      <c r="C27" s="207" t="s">
        <v>1719</v>
      </c>
      <c r="D27" s="205" t="s">
        <v>14</v>
      </c>
      <c r="E27" s="205" t="s">
        <v>709</v>
      </c>
      <c r="F27" s="205" t="s">
        <v>721</v>
      </c>
      <c r="G27" s="208">
        <v>-17.449946168436362</v>
      </c>
      <c r="H27" s="208">
        <v>14.211074823518857</v>
      </c>
      <c r="I27" s="208">
        <v>44.72637743711492</v>
      </c>
      <c r="J27" s="208">
        <v>12.853405465639359</v>
      </c>
    </row>
    <row r="28" spans="1:10" x14ac:dyDescent="0.3">
      <c r="A28" s="205" t="s">
        <v>722</v>
      </c>
      <c r="B28" s="206" t="s">
        <v>723</v>
      </c>
      <c r="C28" s="207" t="s">
        <v>1719</v>
      </c>
      <c r="D28" s="205" t="s">
        <v>14</v>
      </c>
      <c r="E28" s="173" t="s">
        <v>165</v>
      </c>
      <c r="F28" s="205" t="s">
        <v>724</v>
      </c>
      <c r="G28" s="208">
        <v>-19.746865016349755</v>
      </c>
      <c r="H28" s="208">
        <v>9.1260297269968262</v>
      </c>
      <c r="I28" s="208">
        <v>31.408066961572811</v>
      </c>
      <c r="J28" s="208">
        <v>7.9632021672864735</v>
      </c>
    </row>
    <row r="29" spans="1:10" x14ac:dyDescent="0.3">
      <c r="A29" s="205" t="s">
        <v>725</v>
      </c>
      <c r="B29" s="206" t="s">
        <v>723</v>
      </c>
      <c r="C29" s="207" t="s">
        <v>1719</v>
      </c>
      <c r="D29" s="205" t="s">
        <v>14</v>
      </c>
      <c r="E29" s="205" t="s">
        <v>689</v>
      </c>
      <c r="F29" s="205" t="s">
        <v>726</v>
      </c>
      <c r="G29" s="209">
        <v>-19.170673112020101</v>
      </c>
      <c r="H29" s="209">
        <v>9.6451394497562575</v>
      </c>
      <c r="I29" s="209">
        <v>45.564783764368698</v>
      </c>
      <c r="J29" s="209">
        <v>12.375534414963251</v>
      </c>
    </row>
    <row r="30" spans="1:10" x14ac:dyDescent="0.3">
      <c r="A30" s="205" t="s">
        <v>727</v>
      </c>
      <c r="B30" s="206" t="s">
        <v>723</v>
      </c>
      <c r="C30" s="207" t="s">
        <v>1719</v>
      </c>
      <c r="D30" s="205" t="s">
        <v>14</v>
      </c>
      <c r="E30" s="205" t="s">
        <v>709</v>
      </c>
      <c r="F30" s="205" t="s">
        <v>728</v>
      </c>
      <c r="G30" s="209">
        <v>-18.901922281290005</v>
      </c>
      <c r="H30" s="209">
        <v>9.7315136818608838</v>
      </c>
      <c r="I30" s="209">
        <v>40.133728106128871</v>
      </c>
      <c r="J30" s="209">
        <v>10.904733344166239</v>
      </c>
    </row>
    <row r="31" spans="1:10" x14ac:dyDescent="0.3">
      <c r="A31" s="205" t="s">
        <v>729</v>
      </c>
      <c r="B31" s="206" t="s">
        <v>723</v>
      </c>
      <c r="C31" s="207" t="s">
        <v>1719</v>
      </c>
      <c r="D31" s="205" t="s">
        <v>14</v>
      </c>
      <c r="E31" s="205" t="s">
        <v>730</v>
      </c>
      <c r="F31" s="205" t="s">
        <v>731</v>
      </c>
      <c r="G31" s="209">
        <v>-18.310060798088973</v>
      </c>
      <c r="H31" s="209">
        <v>11.515910865637242</v>
      </c>
      <c r="I31" s="209">
        <v>42.573552192623112</v>
      </c>
      <c r="J31" s="209">
        <v>6.9594581138305873</v>
      </c>
    </row>
    <row r="32" spans="1:10" x14ac:dyDescent="0.3">
      <c r="A32" s="205" t="s">
        <v>732</v>
      </c>
      <c r="B32" s="206" t="s">
        <v>733</v>
      </c>
      <c r="C32" s="207" t="s">
        <v>1719</v>
      </c>
      <c r="D32" s="205" t="s">
        <v>13</v>
      </c>
      <c r="E32" s="205" t="s">
        <v>734</v>
      </c>
      <c r="F32" s="205" t="s">
        <v>735</v>
      </c>
      <c r="G32" s="208">
        <v>-19.042678446489152</v>
      </c>
      <c r="H32" s="208">
        <v>13.589581873745651</v>
      </c>
      <c r="I32" s="208">
        <v>49.686822619714412</v>
      </c>
      <c r="J32" s="208">
        <v>12.598821660992138</v>
      </c>
    </row>
    <row r="33" spans="1:10" x14ac:dyDescent="0.3">
      <c r="A33" s="205" t="s">
        <v>736</v>
      </c>
      <c r="B33" s="206" t="s">
        <v>737</v>
      </c>
      <c r="C33" s="207" t="s">
        <v>1720</v>
      </c>
      <c r="D33" s="205" t="s">
        <v>14</v>
      </c>
      <c r="E33" s="205" t="s">
        <v>709</v>
      </c>
      <c r="F33" s="205" t="s">
        <v>738</v>
      </c>
      <c r="G33" s="208">
        <v>-22.59327103907108</v>
      </c>
      <c r="H33" s="208">
        <v>11.806617117421986</v>
      </c>
      <c r="I33" s="208">
        <v>36.578867624121365</v>
      </c>
      <c r="J33" s="208">
        <v>7.6092271002806022</v>
      </c>
    </row>
    <row r="34" spans="1:10" x14ac:dyDescent="0.3">
      <c r="A34" s="205" t="s">
        <v>739</v>
      </c>
      <c r="B34" s="206" t="s">
        <v>737</v>
      </c>
      <c r="C34" s="207" t="s">
        <v>1719</v>
      </c>
      <c r="D34" s="205" t="s">
        <v>3</v>
      </c>
      <c r="E34" s="205" t="s">
        <v>1525</v>
      </c>
      <c r="F34" s="205" t="s">
        <v>740</v>
      </c>
      <c r="G34" s="208">
        <v>-20.604803872424277</v>
      </c>
      <c r="H34" s="208">
        <v>10.90664389713741</v>
      </c>
      <c r="I34" s="208">
        <v>40.39550829234669</v>
      </c>
      <c r="J34" s="208">
        <v>9.7903259889355212</v>
      </c>
    </row>
    <row r="35" spans="1:10" x14ac:dyDescent="0.3">
      <c r="A35" s="205" t="s">
        <v>741</v>
      </c>
      <c r="B35" s="206" t="s">
        <v>737</v>
      </c>
      <c r="C35" s="207" t="s">
        <v>1719</v>
      </c>
      <c r="D35" s="205" t="s">
        <v>3</v>
      </c>
      <c r="E35" s="205" t="s">
        <v>168</v>
      </c>
      <c r="F35" s="205" t="s">
        <v>742</v>
      </c>
      <c r="G35" s="208">
        <v>-19.65540902210099</v>
      </c>
      <c r="H35" s="208">
        <v>10.851966280220473</v>
      </c>
      <c r="I35" s="208">
        <v>33.777474741124777</v>
      </c>
      <c r="J35" s="208">
        <v>6.8085916112858369</v>
      </c>
    </row>
    <row r="36" spans="1:10" x14ac:dyDescent="0.3">
      <c r="A36" s="205" t="s">
        <v>743</v>
      </c>
      <c r="B36" s="206" t="s">
        <v>737</v>
      </c>
      <c r="C36" s="207" t="s">
        <v>1719</v>
      </c>
      <c r="D36" s="205" t="s">
        <v>3</v>
      </c>
      <c r="E36" s="205" t="s">
        <v>676</v>
      </c>
      <c r="F36" s="205" t="s">
        <v>744</v>
      </c>
      <c r="G36" s="208">
        <v>-17.866193175690356</v>
      </c>
      <c r="H36" s="208">
        <v>12.316374165500973</v>
      </c>
      <c r="I36" s="208">
        <v>25.653450556720664</v>
      </c>
      <c r="J36" s="208">
        <v>6.6095300881415104</v>
      </c>
    </row>
    <row r="37" spans="1:10" x14ac:dyDescent="0.3">
      <c r="A37" s="205" t="s">
        <v>745</v>
      </c>
      <c r="B37" s="206" t="s">
        <v>737</v>
      </c>
      <c r="C37" s="207" t="s">
        <v>1719</v>
      </c>
      <c r="D37" s="205" t="s">
        <v>14</v>
      </c>
      <c r="E37" s="173" t="s">
        <v>165</v>
      </c>
      <c r="F37" s="205" t="s">
        <v>746</v>
      </c>
      <c r="G37" s="208">
        <v>-19.81233861457331</v>
      </c>
      <c r="H37" s="208">
        <v>11.185874122669764</v>
      </c>
      <c r="I37" s="208">
        <v>39.729157601208044</v>
      </c>
      <c r="J37" s="208">
        <v>9.6066677592799667</v>
      </c>
    </row>
    <row r="38" spans="1:10" x14ac:dyDescent="0.3">
      <c r="A38" s="205" t="s">
        <v>747</v>
      </c>
      <c r="B38" s="206" t="s">
        <v>737</v>
      </c>
      <c r="C38" s="207" t="s">
        <v>1719</v>
      </c>
      <c r="D38" s="205" t="s">
        <v>14</v>
      </c>
      <c r="E38" s="205" t="s">
        <v>689</v>
      </c>
      <c r="F38" s="205" t="s">
        <v>748</v>
      </c>
      <c r="G38" s="208">
        <v>-20.633306716785498</v>
      </c>
      <c r="H38" s="208">
        <v>11.551558578919554</v>
      </c>
      <c r="I38" s="208">
        <v>42.178655756638342</v>
      </c>
      <c r="J38" s="208">
        <v>10.396033062754988</v>
      </c>
    </row>
    <row r="39" spans="1:10" x14ac:dyDescent="0.3">
      <c r="A39" s="205" t="s">
        <v>749</v>
      </c>
      <c r="B39" s="206" t="s">
        <v>737</v>
      </c>
      <c r="C39" s="207" t="s">
        <v>1719</v>
      </c>
      <c r="D39" s="205" t="s">
        <v>14</v>
      </c>
      <c r="E39" s="205" t="s">
        <v>709</v>
      </c>
      <c r="F39" s="205" t="s">
        <v>750</v>
      </c>
      <c r="G39" s="208">
        <v>-20.567543327813482</v>
      </c>
      <c r="H39" s="208">
        <v>10.899464726838518</v>
      </c>
      <c r="I39" s="208">
        <v>40.208121776204948</v>
      </c>
      <c r="J39" s="208">
        <v>9.1450822278546777</v>
      </c>
    </row>
    <row r="40" spans="1:10" x14ac:dyDescent="0.3">
      <c r="A40" s="205" t="s">
        <v>751</v>
      </c>
      <c r="B40" s="206" t="s">
        <v>737</v>
      </c>
      <c r="C40" s="207" t="s">
        <v>1719</v>
      </c>
      <c r="D40" s="205" t="s">
        <v>14</v>
      </c>
      <c r="E40" s="205" t="s">
        <v>730</v>
      </c>
      <c r="F40" s="205" t="s">
        <v>752</v>
      </c>
      <c r="G40" s="208">
        <v>-19.012989508041858</v>
      </c>
      <c r="H40" s="208">
        <v>11.223168466702276</v>
      </c>
      <c r="I40" s="208">
        <v>42.524114226834733</v>
      </c>
      <c r="J40" s="208">
        <v>11.022417369774971</v>
      </c>
    </row>
    <row r="41" spans="1:10" x14ac:dyDescent="0.3">
      <c r="A41" s="205" t="s">
        <v>753</v>
      </c>
      <c r="B41" s="206" t="s">
        <v>754</v>
      </c>
      <c r="C41" s="207" t="s">
        <v>1719</v>
      </c>
      <c r="D41" s="205" t="s">
        <v>14</v>
      </c>
      <c r="E41" s="205" t="s">
        <v>684</v>
      </c>
      <c r="F41" s="205" t="s">
        <v>755</v>
      </c>
      <c r="G41" s="208">
        <v>-20.11752872030122</v>
      </c>
      <c r="H41" s="208">
        <v>11.403690885324799</v>
      </c>
      <c r="I41" s="208">
        <v>46.614459466714258</v>
      </c>
      <c r="J41" s="208">
        <v>9.98335542382463</v>
      </c>
    </row>
    <row r="42" spans="1:10" x14ac:dyDescent="0.3">
      <c r="A42" s="205" t="s">
        <v>756</v>
      </c>
      <c r="B42" s="205" t="s">
        <v>989</v>
      </c>
      <c r="C42" s="207" t="s">
        <v>1720</v>
      </c>
      <c r="D42" s="205" t="s">
        <v>14</v>
      </c>
      <c r="E42" s="205" t="s">
        <v>1905</v>
      </c>
      <c r="F42" s="205" t="s">
        <v>757</v>
      </c>
      <c r="G42" s="208">
        <v>-17.895952745177997</v>
      </c>
      <c r="H42" s="208">
        <v>10.805225043659526</v>
      </c>
      <c r="I42" s="208">
        <v>44.971916540699134</v>
      </c>
      <c r="J42" s="208">
        <v>11.982268692107386</v>
      </c>
    </row>
    <row r="43" spans="1:10" x14ac:dyDescent="0.3">
      <c r="A43" s="205" t="s">
        <v>758</v>
      </c>
      <c r="B43" s="205" t="s">
        <v>989</v>
      </c>
      <c r="C43" s="207" t="s">
        <v>1720</v>
      </c>
      <c r="D43" s="205" t="s">
        <v>14</v>
      </c>
      <c r="E43" s="205" t="s">
        <v>1905</v>
      </c>
      <c r="F43" s="205" t="s">
        <v>759</v>
      </c>
      <c r="G43" s="208">
        <v>-18.836989075442446</v>
      </c>
      <c r="H43" s="208">
        <v>10.609904584656423</v>
      </c>
      <c r="I43" s="208">
        <v>46.137403268012008</v>
      </c>
      <c r="J43" s="208">
        <v>10.835717147132284</v>
      </c>
    </row>
    <row r="44" spans="1:10" x14ac:dyDescent="0.3">
      <c r="A44" s="205" t="s">
        <v>760</v>
      </c>
      <c r="B44" s="205" t="s">
        <v>989</v>
      </c>
      <c r="C44" s="207" t="s">
        <v>1720</v>
      </c>
      <c r="D44" s="205" t="s">
        <v>14</v>
      </c>
      <c r="E44" s="173" t="s">
        <v>165</v>
      </c>
      <c r="F44" s="205" t="s">
        <v>761</v>
      </c>
      <c r="G44" s="208">
        <v>-19.316847506615066</v>
      </c>
      <c r="H44" s="208">
        <v>10.429491330293693</v>
      </c>
      <c r="I44" s="208">
        <v>44.852779849840864</v>
      </c>
      <c r="J44" s="208">
        <v>11.043551810164654</v>
      </c>
    </row>
    <row r="45" spans="1:10" x14ac:dyDescent="0.3">
      <c r="A45" s="205" t="s">
        <v>762</v>
      </c>
      <c r="B45" s="205" t="s">
        <v>989</v>
      </c>
      <c r="C45" s="207" t="s">
        <v>1720</v>
      </c>
      <c r="D45" s="205" t="s">
        <v>14</v>
      </c>
      <c r="E45" s="205" t="s">
        <v>689</v>
      </c>
      <c r="F45" s="205" t="s">
        <v>763</v>
      </c>
      <c r="G45" s="208">
        <v>-19.797051358304088</v>
      </c>
      <c r="H45" s="208">
        <v>9.1008104335237121</v>
      </c>
      <c r="I45" s="208">
        <v>43.959969474997237</v>
      </c>
      <c r="J45" s="208">
        <v>8.7449857328357066</v>
      </c>
    </row>
    <row r="46" spans="1:10" x14ac:dyDescent="0.3">
      <c r="A46" s="205" t="s">
        <v>764</v>
      </c>
      <c r="B46" s="205" t="s">
        <v>989</v>
      </c>
      <c r="C46" s="207" t="s">
        <v>1720</v>
      </c>
      <c r="D46" s="205" t="s">
        <v>14</v>
      </c>
      <c r="E46" s="205" t="s">
        <v>709</v>
      </c>
      <c r="F46" s="205" t="s">
        <v>765</v>
      </c>
      <c r="G46" s="208">
        <v>-19.627769785513376</v>
      </c>
      <c r="H46" s="208">
        <v>9.2582581772147226</v>
      </c>
      <c r="I46" s="208">
        <v>43.771719553331614</v>
      </c>
      <c r="J46" s="208">
        <v>8.7073639405355667</v>
      </c>
    </row>
    <row r="47" spans="1:10" x14ac:dyDescent="0.3">
      <c r="A47" s="205" t="s">
        <v>766</v>
      </c>
      <c r="B47" s="205" t="s">
        <v>989</v>
      </c>
      <c r="C47" s="207" t="s">
        <v>1720</v>
      </c>
      <c r="D47" s="205" t="s">
        <v>14</v>
      </c>
      <c r="E47" s="205" t="s">
        <v>709</v>
      </c>
      <c r="F47" s="205" t="s">
        <v>767</v>
      </c>
      <c r="G47" s="208">
        <v>-19.179120151082824</v>
      </c>
      <c r="H47" s="208">
        <v>9.3417167122819844</v>
      </c>
      <c r="I47" s="208">
        <v>43.546879344531945</v>
      </c>
      <c r="J47" s="208">
        <v>10.989992538705929</v>
      </c>
    </row>
    <row r="48" spans="1:10" x14ac:dyDescent="0.3">
      <c r="A48" s="205" t="s">
        <v>768</v>
      </c>
      <c r="B48" s="205" t="s">
        <v>989</v>
      </c>
      <c r="C48" s="207" t="s">
        <v>1720</v>
      </c>
      <c r="D48" s="205" t="s">
        <v>13</v>
      </c>
      <c r="E48" s="205" t="s">
        <v>769</v>
      </c>
      <c r="F48" s="205" t="s">
        <v>770</v>
      </c>
      <c r="G48" s="208">
        <v>-20.129103687795915</v>
      </c>
      <c r="H48" s="208">
        <v>11.274453284600284</v>
      </c>
      <c r="I48" s="208">
        <v>44.49479369135959</v>
      </c>
      <c r="J48" s="208">
        <v>9.6746240786983524</v>
      </c>
    </row>
    <row r="49" spans="1:10" x14ac:dyDescent="0.3">
      <c r="A49" s="205" t="s">
        <v>771</v>
      </c>
      <c r="B49" s="205" t="s">
        <v>989</v>
      </c>
      <c r="C49" s="207" t="s">
        <v>1720</v>
      </c>
      <c r="D49" s="205" t="s">
        <v>13</v>
      </c>
      <c r="E49" s="205" t="s">
        <v>769</v>
      </c>
      <c r="F49" s="205" t="s">
        <v>772</v>
      </c>
      <c r="G49" s="208">
        <v>-19.852286580880033</v>
      </c>
      <c r="H49" s="208">
        <v>11.626959747405419</v>
      </c>
      <c r="I49" s="208">
        <v>44.039009676735688</v>
      </c>
      <c r="J49" s="208">
        <v>10.979331989598412</v>
      </c>
    </row>
    <row r="50" spans="1:10" x14ac:dyDescent="0.3">
      <c r="A50" s="205" t="s">
        <v>773</v>
      </c>
      <c r="B50" s="205" t="s">
        <v>989</v>
      </c>
      <c r="C50" s="207" t="s">
        <v>1720</v>
      </c>
      <c r="D50" s="205" t="s">
        <v>13</v>
      </c>
      <c r="E50" s="205" t="s">
        <v>694</v>
      </c>
      <c r="F50" s="205" t="s">
        <v>774</v>
      </c>
      <c r="G50" s="208">
        <v>-20.672450527336377</v>
      </c>
      <c r="H50" s="208">
        <v>9.5919129832282302</v>
      </c>
      <c r="I50" s="208">
        <v>44.379695774427624</v>
      </c>
      <c r="J50" s="208">
        <v>9.9020540482105073</v>
      </c>
    </row>
    <row r="51" spans="1:10" x14ac:dyDescent="0.3">
      <c r="A51" s="205" t="s">
        <v>775</v>
      </c>
      <c r="B51" s="205" t="s">
        <v>989</v>
      </c>
      <c r="C51" s="207" t="s">
        <v>1720</v>
      </c>
      <c r="D51" s="205" t="s">
        <v>13</v>
      </c>
      <c r="E51" s="205" t="s">
        <v>776</v>
      </c>
      <c r="F51" s="205" t="s">
        <v>777</v>
      </c>
      <c r="G51" s="208">
        <v>-21.494831001084592</v>
      </c>
      <c r="H51" s="208">
        <v>11.04380817972099</v>
      </c>
      <c r="I51" s="208">
        <v>43.786754087531762</v>
      </c>
      <c r="J51" s="208">
        <v>9.3651631833112035</v>
      </c>
    </row>
    <row r="52" spans="1:10" x14ac:dyDescent="0.3">
      <c r="A52" s="205" t="s">
        <v>778</v>
      </c>
      <c r="B52" s="205" t="s">
        <v>989</v>
      </c>
      <c r="C52" s="207" t="s">
        <v>1719</v>
      </c>
      <c r="D52" s="205" t="s">
        <v>14</v>
      </c>
      <c r="E52" s="205" t="s">
        <v>1905</v>
      </c>
      <c r="F52" s="205" t="s">
        <v>779</v>
      </c>
      <c r="G52" s="208">
        <v>-18.394133753612682</v>
      </c>
      <c r="H52" s="208">
        <v>10.729093526521453</v>
      </c>
      <c r="I52" s="208">
        <v>40.979277578015555</v>
      </c>
      <c r="J52" s="208">
        <v>8.8579289880373135</v>
      </c>
    </row>
    <row r="53" spans="1:10" x14ac:dyDescent="0.3">
      <c r="A53" s="205" t="s">
        <v>780</v>
      </c>
      <c r="B53" s="205" t="s">
        <v>989</v>
      </c>
      <c r="C53" s="207" t="s">
        <v>1719</v>
      </c>
      <c r="D53" s="205" t="s">
        <v>14</v>
      </c>
      <c r="E53" s="173" t="s">
        <v>165</v>
      </c>
      <c r="F53" s="205" t="s">
        <v>781</v>
      </c>
      <c r="G53" s="208">
        <v>-19.200743291146463</v>
      </c>
      <c r="H53" s="208">
        <v>10.257077424541841</v>
      </c>
      <c r="I53" s="208">
        <v>45.301361735183704</v>
      </c>
      <c r="J53" s="208">
        <v>9.4399943446618551</v>
      </c>
    </row>
    <row r="54" spans="1:10" x14ac:dyDescent="0.3">
      <c r="A54" s="205" t="s">
        <v>782</v>
      </c>
      <c r="B54" s="205" t="s">
        <v>989</v>
      </c>
      <c r="C54" s="207" t="s">
        <v>1719</v>
      </c>
      <c r="D54" s="205" t="s">
        <v>14</v>
      </c>
      <c r="E54" s="173" t="s">
        <v>165</v>
      </c>
      <c r="F54" s="205" t="s">
        <v>783</v>
      </c>
      <c r="G54" s="208">
        <v>-18.963486405976738</v>
      </c>
      <c r="H54" s="208">
        <v>10.630131596988171</v>
      </c>
      <c r="I54" s="208">
        <v>44.398830879956094</v>
      </c>
      <c r="J54" s="208">
        <v>11.527824313465674</v>
      </c>
    </row>
    <row r="55" spans="1:10" x14ac:dyDescent="0.3">
      <c r="A55" s="205" t="s">
        <v>784</v>
      </c>
      <c r="B55" s="205" t="s">
        <v>989</v>
      </c>
      <c r="C55" s="207" t="s">
        <v>1719</v>
      </c>
      <c r="D55" s="205" t="s">
        <v>14</v>
      </c>
      <c r="E55" s="205" t="s">
        <v>689</v>
      </c>
      <c r="F55" s="205" t="s">
        <v>785</v>
      </c>
      <c r="G55" s="208">
        <v>-18.929381775915665</v>
      </c>
      <c r="H55" s="208">
        <v>10.066394252991916</v>
      </c>
      <c r="I55" s="208">
        <v>43.940816691793579</v>
      </c>
      <c r="J55" s="208">
        <v>11.480023492220024</v>
      </c>
    </row>
    <row r="56" spans="1:10" x14ac:dyDescent="0.3">
      <c r="A56" s="205" t="s">
        <v>786</v>
      </c>
      <c r="B56" s="205" t="s">
        <v>989</v>
      </c>
      <c r="C56" s="207" t="s">
        <v>1719</v>
      </c>
      <c r="D56" s="205" t="s">
        <v>14</v>
      </c>
      <c r="E56" s="205" t="s">
        <v>709</v>
      </c>
      <c r="F56" s="205" t="s">
        <v>787</v>
      </c>
      <c r="G56" s="208">
        <v>-19.12505610857994</v>
      </c>
      <c r="H56" s="208">
        <v>9.8013698350128919</v>
      </c>
      <c r="I56" s="208">
        <v>44.331067231877071</v>
      </c>
      <c r="J56" s="208">
        <v>9.6104883398761416</v>
      </c>
    </row>
    <row r="57" spans="1:10" x14ac:dyDescent="0.3">
      <c r="A57" s="205" t="s">
        <v>788</v>
      </c>
      <c r="B57" s="205" t="s">
        <v>989</v>
      </c>
      <c r="C57" s="207" t="s">
        <v>1719</v>
      </c>
      <c r="D57" s="205" t="s">
        <v>13</v>
      </c>
      <c r="E57" s="205" t="s">
        <v>769</v>
      </c>
      <c r="F57" s="205" t="s">
        <v>789</v>
      </c>
      <c r="G57" s="208">
        <v>-19.928080050709326</v>
      </c>
      <c r="H57" s="208">
        <v>11.679285382487556</v>
      </c>
      <c r="I57" s="208">
        <v>43.848561790088667</v>
      </c>
      <c r="J57" s="208">
        <v>11.042295753887942</v>
      </c>
    </row>
    <row r="58" spans="1:10" x14ac:dyDescent="0.3">
      <c r="A58" s="205" t="s">
        <v>790</v>
      </c>
      <c r="B58" s="205" t="s">
        <v>989</v>
      </c>
      <c r="C58" s="207" t="s">
        <v>1719</v>
      </c>
      <c r="D58" s="205" t="s">
        <v>13</v>
      </c>
      <c r="E58" s="205" t="s">
        <v>776</v>
      </c>
      <c r="F58" s="205" t="s">
        <v>791</v>
      </c>
      <c r="G58" s="208">
        <v>-19.1620425819434</v>
      </c>
      <c r="H58" s="208">
        <v>11.089422752796114</v>
      </c>
      <c r="I58" s="208">
        <v>44.08303624354442</v>
      </c>
      <c r="J58" s="208">
        <v>10.234433713442293</v>
      </c>
    </row>
    <row r="59" spans="1:10" x14ac:dyDescent="0.3">
      <c r="A59" s="205" t="s">
        <v>792</v>
      </c>
      <c r="B59" s="206" t="s">
        <v>793</v>
      </c>
      <c r="C59" s="207" t="s">
        <v>1719</v>
      </c>
      <c r="D59" s="205" t="s">
        <v>14</v>
      </c>
      <c r="E59" s="173" t="s">
        <v>165</v>
      </c>
      <c r="F59" s="205" t="s">
        <v>794</v>
      </c>
      <c r="G59" s="208">
        <v>-18.706632539754523</v>
      </c>
      <c r="H59" s="208">
        <v>12.475440005250473</v>
      </c>
      <c r="I59" s="208">
        <v>36.384353879571599</v>
      </c>
      <c r="J59" s="208">
        <v>9.2545679376502648</v>
      </c>
    </row>
    <row r="60" spans="1:10" x14ac:dyDescent="0.3">
      <c r="A60" s="205" t="s">
        <v>795</v>
      </c>
      <c r="B60" s="206" t="s">
        <v>796</v>
      </c>
      <c r="C60" s="207" t="s">
        <v>1720</v>
      </c>
      <c r="D60" s="205" t="s">
        <v>3</v>
      </c>
      <c r="E60" s="205" t="s">
        <v>1906</v>
      </c>
      <c r="F60" s="205" t="s">
        <v>797</v>
      </c>
      <c r="G60" s="208">
        <v>-15.934917498575654</v>
      </c>
      <c r="H60" s="208">
        <v>13.22466382624844</v>
      </c>
      <c r="I60" s="208">
        <v>34.64008475611778</v>
      </c>
      <c r="J60" s="208">
        <v>9.8354179543804747</v>
      </c>
    </row>
    <row r="61" spans="1:10" x14ac:dyDescent="0.3">
      <c r="A61" s="205" t="s">
        <v>798</v>
      </c>
      <c r="B61" s="206" t="s">
        <v>796</v>
      </c>
      <c r="C61" s="207" t="s">
        <v>1719</v>
      </c>
      <c r="D61" s="205" t="s">
        <v>3</v>
      </c>
      <c r="E61" s="205" t="s">
        <v>1906</v>
      </c>
      <c r="F61" s="205" t="s">
        <v>799</v>
      </c>
      <c r="G61" s="208">
        <v>-17.041686856636527</v>
      </c>
      <c r="H61" s="208">
        <v>12.312458907358149</v>
      </c>
      <c r="I61" s="208">
        <v>31.700054869488003</v>
      </c>
      <c r="J61" s="208">
        <v>7.6530006602627054</v>
      </c>
    </row>
    <row r="62" spans="1:10" x14ac:dyDescent="0.3">
      <c r="A62" s="205" t="s">
        <v>800</v>
      </c>
      <c r="B62" s="210" t="s">
        <v>801</v>
      </c>
      <c r="C62" s="207" t="s">
        <v>1720</v>
      </c>
      <c r="D62" s="205" t="s">
        <v>3</v>
      </c>
      <c r="E62" s="205" t="s">
        <v>667</v>
      </c>
      <c r="F62" s="205" t="s">
        <v>802</v>
      </c>
      <c r="G62" s="208">
        <v>-18.401634369156415</v>
      </c>
      <c r="H62" s="208">
        <v>11.062304060716706</v>
      </c>
      <c r="I62" s="208">
        <v>35.981498458006968</v>
      </c>
      <c r="J62" s="208">
        <v>8.6815540647423024</v>
      </c>
    </row>
    <row r="63" spans="1:10" x14ac:dyDescent="0.3">
      <c r="A63" s="205" t="s">
        <v>803</v>
      </c>
      <c r="B63" s="210" t="s">
        <v>801</v>
      </c>
      <c r="C63" s="207" t="s">
        <v>1719</v>
      </c>
      <c r="D63" s="205" t="s">
        <v>3</v>
      </c>
      <c r="E63" s="205" t="s">
        <v>1525</v>
      </c>
      <c r="F63" s="205" t="s">
        <v>804</v>
      </c>
      <c r="G63" s="208">
        <v>-17.896951004863475</v>
      </c>
      <c r="H63" s="208">
        <v>12.483891400738692</v>
      </c>
      <c r="I63" s="208">
        <v>40.22060709560423</v>
      </c>
      <c r="J63" s="208">
        <v>10.406505902760363</v>
      </c>
    </row>
    <row r="64" spans="1:10" x14ac:dyDescent="0.3">
      <c r="A64" s="205" t="s">
        <v>805</v>
      </c>
      <c r="B64" s="210" t="s">
        <v>801</v>
      </c>
      <c r="C64" s="207" t="s">
        <v>1719</v>
      </c>
      <c r="D64" s="205" t="s">
        <v>3</v>
      </c>
      <c r="E64" s="205" t="s">
        <v>168</v>
      </c>
      <c r="F64" s="205" t="s">
        <v>806</v>
      </c>
      <c r="G64" s="208">
        <v>-16.853536609656299</v>
      </c>
      <c r="H64" s="208">
        <v>12.601531999479182</v>
      </c>
      <c r="I64" s="208">
        <v>31.892043411907128</v>
      </c>
      <c r="J64" s="208">
        <v>8.0503130997341579</v>
      </c>
    </row>
    <row r="65" spans="1:10" x14ac:dyDescent="0.3">
      <c r="A65" s="205" t="s">
        <v>807</v>
      </c>
      <c r="B65" s="52" t="s">
        <v>808</v>
      </c>
      <c r="C65" s="207" t="s">
        <v>1720</v>
      </c>
      <c r="D65" s="205" t="s">
        <v>3</v>
      </c>
      <c r="E65" s="205" t="s">
        <v>1906</v>
      </c>
      <c r="F65" s="205" t="s">
        <v>809</v>
      </c>
      <c r="G65" s="208">
        <v>-18.361370072804078</v>
      </c>
      <c r="H65" s="208">
        <v>12.185875881955718</v>
      </c>
      <c r="I65" s="208">
        <v>35.211964208400914</v>
      </c>
      <c r="J65" s="208">
        <v>8.9164741118061546</v>
      </c>
    </row>
    <row r="66" spans="1:10" x14ac:dyDescent="0.3">
      <c r="A66" s="205" t="s">
        <v>810</v>
      </c>
      <c r="B66" s="52" t="s">
        <v>808</v>
      </c>
      <c r="C66" s="207" t="s">
        <v>1720</v>
      </c>
      <c r="D66" s="205" t="s">
        <v>3</v>
      </c>
      <c r="E66" s="205" t="s">
        <v>168</v>
      </c>
      <c r="F66" s="205" t="s">
        <v>811</v>
      </c>
      <c r="G66" s="208">
        <v>-15.33565788113232</v>
      </c>
      <c r="H66" s="208">
        <v>14.083942823463282</v>
      </c>
      <c r="I66" s="208">
        <v>35.968291361127463</v>
      </c>
      <c r="J66" s="208">
        <v>9.342712617676785</v>
      </c>
    </row>
    <row r="67" spans="1:10" x14ac:dyDescent="0.3">
      <c r="A67" s="205" t="s">
        <v>812</v>
      </c>
      <c r="B67" s="52" t="s">
        <v>808</v>
      </c>
      <c r="C67" s="207" t="s">
        <v>1720</v>
      </c>
      <c r="D67" s="205" t="s">
        <v>14</v>
      </c>
      <c r="E67" s="205" t="s">
        <v>1905</v>
      </c>
      <c r="F67" s="205" t="s">
        <v>813</v>
      </c>
      <c r="G67" s="208">
        <v>-16.255235349977106</v>
      </c>
      <c r="H67" s="208">
        <v>14.625669582286083</v>
      </c>
      <c r="I67" s="208">
        <v>33.814452895276595</v>
      </c>
      <c r="J67" s="208">
        <v>8.5253264654667795</v>
      </c>
    </row>
    <row r="68" spans="1:10" x14ac:dyDescent="0.3">
      <c r="A68" s="205" t="s">
        <v>814</v>
      </c>
      <c r="B68" s="52" t="s">
        <v>808</v>
      </c>
      <c r="C68" s="207" t="s">
        <v>1720</v>
      </c>
      <c r="D68" s="205" t="s">
        <v>14</v>
      </c>
      <c r="E68" s="205" t="s">
        <v>730</v>
      </c>
      <c r="F68" s="205" t="s">
        <v>815</v>
      </c>
      <c r="G68" s="208">
        <v>-19.969643894888041</v>
      </c>
      <c r="H68" s="208">
        <v>12.161811225355073</v>
      </c>
      <c r="I68" s="208">
        <v>34.01125152471127</v>
      </c>
      <c r="J68" s="208">
        <v>7.6830191455339616</v>
      </c>
    </row>
    <row r="69" spans="1:10" x14ac:dyDescent="0.3">
      <c r="A69" s="205" t="s">
        <v>816</v>
      </c>
      <c r="B69" s="52" t="s">
        <v>808</v>
      </c>
      <c r="C69" s="207" t="s">
        <v>1720</v>
      </c>
      <c r="D69" s="205" t="s">
        <v>13</v>
      </c>
      <c r="E69" s="205" t="s">
        <v>776</v>
      </c>
      <c r="F69" s="205" t="s">
        <v>817</v>
      </c>
      <c r="G69" s="208">
        <v>-20.748905647496446</v>
      </c>
      <c r="H69" s="208">
        <v>14.261143890233257</v>
      </c>
      <c r="I69" s="208">
        <v>34.152508394984949</v>
      </c>
      <c r="J69" s="208">
        <v>8.2743188408459964</v>
      </c>
    </row>
    <row r="70" spans="1:10" x14ac:dyDescent="0.3">
      <c r="A70" s="205" t="s">
        <v>810</v>
      </c>
      <c r="B70" s="52" t="s">
        <v>808</v>
      </c>
      <c r="C70" s="207" t="s">
        <v>1719</v>
      </c>
      <c r="D70" s="205" t="s">
        <v>14</v>
      </c>
      <c r="E70" s="205" t="s">
        <v>1905</v>
      </c>
      <c r="F70" s="205" t="s">
        <v>811</v>
      </c>
      <c r="G70" s="208">
        <v>-15.33565788113232</v>
      </c>
      <c r="H70" s="208">
        <v>14.083942823463282</v>
      </c>
      <c r="I70" s="208">
        <v>35.968291361127463</v>
      </c>
      <c r="J70" s="208">
        <v>9.342712617676785</v>
      </c>
    </row>
    <row r="71" spans="1:10" x14ac:dyDescent="0.3">
      <c r="A71" s="205" t="s">
        <v>818</v>
      </c>
      <c r="B71" s="52" t="s">
        <v>808</v>
      </c>
      <c r="C71" s="207" t="s">
        <v>1719</v>
      </c>
      <c r="D71" s="205" t="s">
        <v>14</v>
      </c>
      <c r="E71" s="205" t="s">
        <v>730</v>
      </c>
      <c r="F71" s="205" t="s">
        <v>819</v>
      </c>
      <c r="G71" s="208">
        <v>-17.898707384605576</v>
      </c>
      <c r="H71" s="208">
        <v>12.5283361982844</v>
      </c>
      <c r="I71" s="208">
        <v>37.284536260453983</v>
      </c>
      <c r="J71" s="208">
        <v>10.347684158147899</v>
      </c>
    </row>
    <row r="72" spans="1:10" x14ac:dyDescent="0.3">
      <c r="A72" s="205" t="s">
        <v>820</v>
      </c>
      <c r="B72" s="210" t="s">
        <v>821</v>
      </c>
      <c r="C72" s="207" t="s">
        <v>1720</v>
      </c>
      <c r="D72" s="205" t="s">
        <v>3</v>
      </c>
      <c r="E72" s="205" t="s">
        <v>168</v>
      </c>
      <c r="F72" s="205" t="s">
        <v>822</v>
      </c>
      <c r="G72" s="208">
        <v>-17.084758922171428</v>
      </c>
      <c r="H72" s="208">
        <v>11.842861581267293</v>
      </c>
      <c r="I72" s="208">
        <v>34.717064794645097</v>
      </c>
      <c r="J72" s="208">
        <v>9.2605128680107587</v>
      </c>
    </row>
    <row r="73" spans="1:10" x14ac:dyDescent="0.3">
      <c r="A73" s="205" t="s">
        <v>823</v>
      </c>
      <c r="B73" s="210" t="s">
        <v>821</v>
      </c>
      <c r="C73" s="207" t="s">
        <v>1720</v>
      </c>
      <c r="D73" s="205" t="s">
        <v>3</v>
      </c>
      <c r="E73" s="205" t="s">
        <v>676</v>
      </c>
      <c r="F73" s="205" t="s">
        <v>824</v>
      </c>
      <c r="G73" s="208">
        <v>-19.365241385055167</v>
      </c>
      <c r="H73" s="208">
        <v>11.966590731070168</v>
      </c>
      <c r="I73" s="208">
        <v>34.754960869607842</v>
      </c>
      <c r="J73" s="208">
        <v>8.5981120971228293</v>
      </c>
    </row>
    <row r="74" spans="1:10" x14ac:dyDescent="0.3">
      <c r="A74" s="205" t="s">
        <v>825</v>
      </c>
      <c r="B74" s="210" t="s">
        <v>821</v>
      </c>
      <c r="C74" s="207" t="s">
        <v>1720</v>
      </c>
      <c r="D74" s="205" t="s">
        <v>3</v>
      </c>
      <c r="E74" s="205" t="s">
        <v>667</v>
      </c>
      <c r="F74" s="205" t="s">
        <v>826</v>
      </c>
      <c r="G74" s="208">
        <v>-18.344326622515048</v>
      </c>
      <c r="H74" s="208">
        <v>11.159952228810017</v>
      </c>
      <c r="I74" s="208">
        <v>39.146002423235089</v>
      </c>
      <c r="J74" s="208">
        <v>9.3679691959557108</v>
      </c>
    </row>
    <row r="75" spans="1:10" x14ac:dyDescent="0.3">
      <c r="A75" s="205" t="s">
        <v>827</v>
      </c>
      <c r="B75" s="210" t="s">
        <v>821</v>
      </c>
      <c r="C75" s="207" t="s">
        <v>1720</v>
      </c>
      <c r="D75" s="205" t="s">
        <v>14</v>
      </c>
      <c r="E75" s="173" t="s">
        <v>165</v>
      </c>
      <c r="F75" s="205" t="s">
        <v>828</v>
      </c>
      <c r="G75" s="208">
        <v>-20.411049803624579</v>
      </c>
      <c r="H75" s="208">
        <v>12.695152780260909</v>
      </c>
      <c r="I75" s="208">
        <v>30.826751761060812</v>
      </c>
      <c r="J75" s="208">
        <v>7.3397833538935515</v>
      </c>
    </row>
    <row r="76" spans="1:10" x14ac:dyDescent="0.3">
      <c r="A76" s="205" t="s">
        <v>829</v>
      </c>
      <c r="B76" s="210" t="s">
        <v>821</v>
      </c>
      <c r="C76" s="207" t="s">
        <v>1720</v>
      </c>
      <c r="D76" s="205" t="s">
        <v>14</v>
      </c>
      <c r="E76" s="205" t="s">
        <v>689</v>
      </c>
      <c r="F76" s="205" t="s">
        <v>830</v>
      </c>
      <c r="G76" s="208">
        <v>-19.961470849759426</v>
      </c>
      <c r="H76" s="208">
        <v>12.559029882617727</v>
      </c>
      <c r="I76" s="208">
        <v>37.269886633003921</v>
      </c>
      <c r="J76" s="208">
        <v>8.9646991829963465</v>
      </c>
    </row>
    <row r="77" spans="1:10" x14ac:dyDescent="0.3">
      <c r="A77" s="205" t="s">
        <v>831</v>
      </c>
      <c r="B77" s="210" t="s">
        <v>821</v>
      </c>
      <c r="C77" s="207" t="s">
        <v>1720</v>
      </c>
      <c r="D77" s="205" t="s">
        <v>13</v>
      </c>
      <c r="E77" s="205" t="s">
        <v>769</v>
      </c>
      <c r="F77" s="205" t="s">
        <v>832</v>
      </c>
      <c r="G77" s="208">
        <v>-18.583611298380514</v>
      </c>
      <c r="H77" s="208">
        <v>14.761794343583915</v>
      </c>
      <c r="I77" s="208">
        <v>36.011095522523398</v>
      </c>
      <c r="J77" s="208">
        <v>8.5467314145726263</v>
      </c>
    </row>
    <row r="78" spans="1:10" x14ac:dyDescent="0.3">
      <c r="A78" s="205" t="s">
        <v>833</v>
      </c>
      <c r="B78" s="210" t="s">
        <v>821</v>
      </c>
      <c r="C78" s="207" t="s">
        <v>1720</v>
      </c>
      <c r="D78" s="205" t="s">
        <v>13</v>
      </c>
      <c r="E78" s="205" t="s">
        <v>734</v>
      </c>
      <c r="F78" s="205" t="s">
        <v>834</v>
      </c>
      <c r="G78" s="208">
        <v>-21.260368223965152</v>
      </c>
      <c r="H78" s="208">
        <v>13.521920190207485</v>
      </c>
      <c r="I78" s="208">
        <v>37.184853912403575</v>
      </c>
      <c r="J78" s="208">
        <v>9.3118183187523531</v>
      </c>
    </row>
    <row r="79" spans="1:10" x14ac:dyDescent="0.3">
      <c r="A79" s="205" t="s">
        <v>835</v>
      </c>
      <c r="B79" s="210" t="s">
        <v>821</v>
      </c>
      <c r="C79" s="207" t="s">
        <v>1720</v>
      </c>
      <c r="D79" s="205" t="s">
        <v>13</v>
      </c>
      <c r="E79" s="205" t="s">
        <v>776</v>
      </c>
      <c r="F79" s="205" t="s">
        <v>836</v>
      </c>
      <c r="G79" s="208">
        <v>-21.68782083690612</v>
      </c>
      <c r="H79" s="208">
        <v>14.239394683703249</v>
      </c>
      <c r="I79" s="208">
        <v>30.721702788614579</v>
      </c>
      <c r="J79" s="208">
        <v>7.5676661723436984</v>
      </c>
    </row>
    <row r="80" spans="1:10" x14ac:dyDescent="0.3">
      <c r="A80" s="205" t="s">
        <v>837</v>
      </c>
      <c r="B80" s="210" t="s">
        <v>821</v>
      </c>
      <c r="C80" s="207" t="s">
        <v>1719</v>
      </c>
      <c r="D80" s="205" t="s">
        <v>3</v>
      </c>
      <c r="E80" s="205" t="s">
        <v>1525</v>
      </c>
      <c r="F80" s="205" t="s">
        <v>838</v>
      </c>
      <c r="G80" s="208">
        <v>-18.27706957512579</v>
      </c>
      <c r="H80" s="208">
        <v>11.856922029042188</v>
      </c>
      <c r="I80" s="208">
        <v>36.927665831265948</v>
      </c>
      <c r="J80" s="208">
        <v>9.2094335001392214</v>
      </c>
    </row>
    <row r="81" spans="1:10" x14ac:dyDescent="0.3">
      <c r="A81" s="205" t="s">
        <v>839</v>
      </c>
      <c r="B81" s="210" t="s">
        <v>821</v>
      </c>
      <c r="C81" s="207" t="s">
        <v>1719</v>
      </c>
      <c r="D81" s="205" t="s">
        <v>3</v>
      </c>
      <c r="E81" s="205" t="s">
        <v>168</v>
      </c>
      <c r="F81" s="205" t="s">
        <v>840</v>
      </c>
      <c r="G81" s="208">
        <v>-17.607276753860354</v>
      </c>
      <c r="H81" s="208">
        <v>12.061825237081322</v>
      </c>
      <c r="I81" s="208">
        <v>33.696979382969005</v>
      </c>
      <c r="J81" s="208">
        <v>8.2712461956622629</v>
      </c>
    </row>
    <row r="82" spans="1:10" x14ac:dyDescent="0.3">
      <c r="A82" s="205" t="s">
        <v>841</v>
      </c>
      <c r="B82" s="210" t="s">
        <v>821</v>
      </c>
      <c r="C82" s="207" t="s">
        <v>1719</v>
      </c>
      <c r="D82" s="205" t="s">
        <v>3</v>
      </c>
      <c r="E82" s="205" t="s">
        <v>667</v>
      </c>
      <c r="F82" s="205" t="s">
        <v>842</v>
      </c>
      <c r="G82" s="208">
        <v>-17.280287547086239</v>
      </c>
      <c r="H82" s="208">
        <v>12.243302142300141</v>
      </c>
      <c r="I82" s="208">
        <v>36.424687372712647</v>
      </c>
      <c r="J82" s="208">
        <v>9.1440755540306036</v>
      </c>
    </row>
    <row r="83" spans="1:10" x14ac:dyDescent="0.3">
      <c r="A83" s="205" t="s">
        <v>843</v>
      </c>
      <c r="B83" s="210" t="s">
        <v>844</v>
      </c>
      <c r="C83" s="207" t="s">
        <v>1719</v>
      </c>
      <c r="D83" s="205" t="s">
        <v>3</v>
      </c>
      <c r="E83" s="205" t="s">
        <v>1906</v>
      </c>
      <c r="F83" s="205" t="s">
        <v>845</v>
      </c>
      <c r="G83" s="208">
        <v>-18.526711674001099</v>
      </c>
      <c r="H83" s="208">
        <v>9.159502497450017</v>
      </c>
      <c r="I83" s="208">
        <v>41.386088302706355</v>
      </c>
      <c r="J83" s="208">
        <v>11.592978305276933</v>
      </c>
    </row>
    <row r="84" spans="1:10" x14ac:dyDescent="0.3">
      <c r="A84" s="205" t="s">
        <v>846</v>
      </c>
      <c r="B84" s="210" t="s">
        <v>844</v>
      </c>
      <c r="C84" s="207" t="s">
        <v>1719</v>
      </c>
      <c r="D84" s="205" t="s">
        <v>3</v>
      </c>
      <c r="E84" s="205" t="s">
        <v>168</v>
      </c>
      <c r="F84" s="205" t="s">
        <v>847</v>
      </c>
      <c r="G84" s="208">
        <v>-17.836396815484331</v>
      </c>
      <c r="H84" s="208">
        <v>9.5171186638174134</v>
      </c>
      <c r="I84" s="208">
        <v>46.661212798182291</v>
      </c>
      <c r="J84" s="208">
        <v>13.719490900386514</v>
      </c>
    </row>
    <row r="85" spans="1:10" x14ac:dyDescent="0.3">
      <c r="A85" s="205" t="s">
        <v>848</v>
      </c>
      <c r="B85" s="210" t="s">
        <v>849</v>
      </c>
      <c r="C85" s="207" t="s">
        <v>1720</v>
      </c>
      <c r="D85" s="205" t="s">
        <v>3</v>
      </c>
      <c r="E85" s="205" t="s">
        <v>1906</v>
      </c>
      <c r="F85" s="205" t="s">
        <v>850</v>
      </c>
      <c r="G85" s="208">
        <v>-18.896660385285287</v>
      </c>
      <c r="H85" s="208">
        <v>9.7090829306178321</v>
      </c>
      <c r="I85" s="208">
        <v>44.062828856438742</v>
      </c>
      <c r="J85" s="208">
        <v>9.9685142313511435</v>
      </c>
    </row>
    <row r="86" spans="1:10" x14ac:dyDescent="0.3">
      <c r="A86" s="205" t="s">
        <v>851</v>
      </c>
      <c r="B86" s="210" t="s">
        <v>849</v>
      </c>
      <c r="C86" s="207" t="s">
        <v>1720</v>
      </c>
      <c r="D86" s="205" t="s">
        <v>3</v>
      </c>
      <c r="E86" s="205" t="s">
        <v>168</v>
      </c>
      <c r="F86" s="205" t="s">
        <v>852</v>
      </c>
      <c r="G86" s="208">
        <v>-18.532617474796385</v>
      </c>
      <c r="H86" s="208">
        <v>9.5224211849289286</v>
      </c>
      <c r="I86" s="208">
        <v>44.994295661860399</v>
      </c>
      <c r="J86" s="208">
        <v>10.753099498574301</v>
      </c>
    </row>
    <row r="87" spans="1:10" x14ac:dyDescent="0.3">
      <c r="A87" s="205" t="s">
        <v>853</v>
      </c>
      <c r="B87" s="210" t="s">
        <v>849</v>
      </c>
      <c r="C87" s="207" t="s">
        <v>1720</v>
      </c>
      <c r="D87" s="205" t="s">
        <v>3</v>
      </c>
      <c r="E87" s="205" t="s">
        <v>667</v>
      </c>
      <c r="F87" s="205" t="s">
        <v>854</v>
      </c>
      <c r="G87" s="208">
        <v>-19.265346141271134</v>
      </c>
      <c r="H87" s="208">
        <v>8.5315916333752853</v>
      </c>
      <c r="I87" s="208">
        <v>43.315949016538497</v>
      </c>
      <c r="J87" s="208">
        <v>9.3318196498247818</v>
      </c>
    </row>
    <row r="88" spans="1:10" x14ac:dyDescent="0.3">
      <c r="A88" s="205" t="s">
        <v>855</v>
      </c>
      <c r="B88" s="210" t="s">
        <v>849</v>
      </c>
      <c r="C88" s="207" t="s">
        <v>1719</v>
      </c>
      <c r="D88" s="205" t="s">
        <v>3</v>
      </c>
      <c r="E88" s="205" t="s">
        <v>1525</v>
      </c>
      <c r="F88" s="205" t="s">
        <v>856</v>
      </c>
      <c r="G88" s="208">
        <v>-17.076870238176536</v>
      </c>
      <c r="H88" s="208">
        <v>11.574949432799883</v>
      </c>
      <c r="I88" s="208">
        <v>25.465570108451725</v>
      </c>
      <c r="J88" s="208">
        <v>5.2826889950245963</v>
      </c>
    </row>
    <row r="89" spans="1:10" x14ac:dyDescent="0.3">
      <c r="A89" s="205" t="s">
        <v>857</v>
      </c>
      <c r="B89" s="210" t="s">
        <v>849</v>
      </c>
      <c r="C89" s="207" t="s">
        <v>1719</v>
      </c>
      <c r="D89" s="205" t="s">
        <v>3</v>
      </c>
      <c r="E89" s="205" t="s">
        <v>1906</v>
      </c>
      <c r="F89" s="205" t="s">
        <v>858</v>
      </c>
      <c r="G89" s="208">
        <v>-17.22386891696026</v>
      </c>
      <c r="H89" s="208">
        <v>10.977299164627858</v>
      </c>
      <c r="I89" s="208">
        <v>48.225630715520772</v>
      </c>
      <c r="J89" s="208">
        <v>11.37484885524027</v>
      </c>
    </row>
    <row r="90" spans="1:10" x14ac:dyDescent="0.3">
      <c r="A90" s="205" t="s">
        <v>859</v>
      </c>
      <c r="B90" s="210" t="s">
        <v>849</v>
      </c>
      <c r="C90" s="207" t="s">
        <v>1719</v>
      </c>
      <c r="D90" s="205" t="s">
        <v>3</v>
      </c>
      <c r="E90" s="205" t="s">
        <v>168</v>
      </c>
      <c r="F90" s="205" t="s">
        <v>860</v>
      </c>
      <c r="G90" s="208">
        <v>-17.683232452761889</v>
      </c>
      <c r="H90" s="208">
        <v>10.158911878315319</v>
      </c>
      <c r="I90" s="208">
        <v>44.283267116459044</v>
      </c>
      <c r="J90" s="208">
        <v>10.424497144631081</v>
      </c>
    </row>
    <row r="91" spans="1:10" x14ac:dyDescent="0.3">
      <c r="A91" s="205" t="s">
        <v>861</v>
      </c>
      <c r="B91" s="210" t="s">
        <v>849</v>
      </c>
      <c r="C91" s="207" t="s">
        <v>1719</v>
      </c>
      <c r="D91" s="205" t="s">
        <v>3</v>
      </c>
      <c r="E91" s="205" t="s">
        <v>667</v>
      </c>
      <c r="F91" s="205" t="s">
        <v>862</v>
      </c>
      <c r="G91" s="209">
        <v>-17.92873929952572</v>
      </c>
      <c r="H91" s="209">
        <v>9.3912356273912305</v>
      </c>
      <c r="I91" s="209">
        <v>46.253418027903813</v>
      </c>
      <c r="J91" s="209">
        <v>11.793511657667437</v>
      </c>
    </row>
    <row r="92" spans="1:10" x14ac:dyDescent="0.3">
      <c r="A92" s="205" t="s">
        <v>863</v>
      </c>
      <c r="B92" s="210" t="s">
        <v>864</v>
      </c>
      <c r="C92" s="207" t="s">
        <v>1719</v>
      </c>
      <c r="D92" s="205" t="s">
        <v>13</v>
      </c>
      <c r="E92" s="205" t="s">
        <v>776</v>
      </c>
      <c r="F92" s="205" t="s">
        <v>865</v>
      </c>
      <c r="G92" s="208">
        <v>-19.166550551293319</v>
      </c>
      <c r="H92" s="208">
        <v>11.182994421048452</v>
      </c>
      <c r="I92" s="208">
        <v>42.383024841191144</v>
      </c>
      <c r="J92" s="208">
        <v>10.983158517886633</v>
      </c>
    </row>
    <row r="93" spans="1:10" x14ac:dyDescent="0.3">
      <c r="A93" s="205" t="s">
        <v>866</v>
      </c>
      <c r="B93" s="210" t="s">
        <v>867</v>
      </c>
      <c r="C93" s="207" t="s">
        <v>1720</v>
      </c>
      <c r="D93" s="205" t="s">
        <v>3</v>
      </c>
      <c r="E93" s="205" t="s">
        <v>1525</v>
      </c>
      <c r="F93" s="205" t="s">
        <v>868</v>
      </c>
      <c r="G93" s="208">
        <v>-18.982614265746026</v>
      </c>
      <c r="H93" s="208">
        <v>8.4511098999574852</v>
      </c>
      <c r="I93" s="208">
        <v>46.139855902893636</v>
      </c>
      <c r="J93" s="208">
        <v>11.678934380170418</v>
      </c>
    </row>
    <row r="94" spans="1:10" x14ac:dyDescent="0.3">
      <c r="A94" s="205" t="s">
        <v>869</v>
      </c>
      <c r="B94" s="210" t="s">
        <v>867</v>
      </c>
      <c r="C94" s="207" t="s">
        <v>1720</v>
      </c>
      <c r="D94" s="205" t="s">
        <v>3</v>
      </c>
      <c r="E94" s="205" t="s">
        <v>1525</v>
      </c>
      <c r="F94" s="205" t="s">
        <v>870</v>
      </c>
      <c r="G94" s="208">
        <v>-18.4799986286469</v>
      </c>
      <c r="H94" s="208">
        <v>8.8038681379254022</v>
      </c>
      <c r="I94" s="208">
        <v>42.447688599856811</v>
      </c>
      <c r="J94" s="208">
        <v>10.386864019443125</v>
      </c>
    </row>
    <row r="95" spans="1:10" x14ac:dyDescent="0.3">
      <c r="A95" s="205" t="s">
        <v>871</v>
      </c>
      <c r="B95" s="210" t="s">
        <v>867</v>
      </c>
      <c r="C95" s="207" t="s">
        <v>1720</v>
      </c>
      <c r="D95" s="205" t="s">
        <v>3</v>
      </c>
      <c r="E95" s="205" t="s">
        <v>168</v>
      </c>
      <c r="F95" s="205" t="s">
        <v>872</v>
      </c>
      <c r="G95" s="208">
        <v>-18.881813366217013</v>
      </c>
      <c r="H95" s="208">
        <v>8.4745850263346281</v>
      </c>
      <c r="I95" s="208">
        <v>46.444322400438153</v>
      </c>
      <c r="J95" s="208">
        <v>10.998049219089779</v>
      </c>
    </row>
    <row r="96" spans="1:10" x14ac:dyDescent="0.3">
      <c r="A96" s="205" t="s">
        <v>873</v>
      </c>
      <c r="B96" s="210" t="s">
        <v>867</v>
      </c>
      <c r="C96" s="207" t="s">
        <v>1720</v>
      </c>
      <c r="D96" s="205" t="s">
        <v>3</v>
      </c>
      <c r="E96" s="205" t="s">
        <v>667</v>
      </c>
      <c r="F96" s="205" t="s">
        <v>874</v>
      </c>
      <c r="G96" s="208">
        <v>-20.047329402171531</v>
      </c>
      <c r="H96" s="208">
        <v>8.2359993835213388</v>
      </c>
      <c r="I96" s="208">
        <v>43.567376580510967</v>
      </c>
      <c r="J96" s="208">
        <v>11.393360010694622</v>
      </c>
    </row>
    <row r="97" spans="1:10" x14ac:dyDescent="0.3">
      <c r="A97" s="205" t="s">
        <v>875</v>
      </c>
      <c r="B97" s="210" t="s">
        <v>867</v>
      </c>
      <c r="C97" s="207" t="s">
        <v>1719</v>
      </c>
      <c r="D97" s="205" t="s">
        <v>3</v>
      </c>
      <c r="E97" s="205" t="s">
        <v>1525</v>
      </c>
      <c r="F97" s="205" t="s">
        <v>876</v>
      </c>
      <c r="G97" s="208">
        <v>-18.169684058746274</v>
      </c>
      <c r="H97" s="208">
        <v>10.497685189730536</v>
      </c>
      <c r="I97" s="208">
        <v>47.361017243748449</v>
      </c>
      <c r="J97" s="208">
        <v>12.748356614668346</v>
      </c>
    </row>
    <row r="98" spans="1:10" x14ac:dyDescent="0.3">
      <c r="A98" s="205" t="s">
        <v>877</v>
      </c>
      <c r="B98" s="210" t="s">
        <v>867</v>
      </c>
      <c r="C98" s="207" t="s">
        <v>1719</v>
      </c>
      <c r="D98" s="205" t="s">
        <v>3</v>
      </c>
      <c r="E98" s="205" t="s">
        <v>168</v>
      </c>
      <c r="F98" s="205" t="s">
        <v>878</v>
      </c>
      <c r="G98" s="208">
        <v>-17.212971082323726</v>
      </c>
      <c r="H98" s="208">
        <v>10.829228658140615</v>
      </c>
      <c r="I98" s="208">
        <v>48.110652123523742</v>
      </c>
      <c r="J98" s="208">
        <v>12.99325077226438</v>
      </c>
    </row>
    <row r="99" spans="1:10" x14ac:dyDescent="0.3">
      <c r="A99" s="205" t="s">
        <v>879</v>
      </c>
      <c r="B99" s="210" t="s">
        <v>867</v>
      </c>
      <c r="C99" s="207" t="s">
        <v>1719</v>
      </c>
      <c r="D99" s="205" t="s">
        <v>3</v>
      </c>
      <c r="E99" s="205" t="s">
        <v>168</v>
      </c>
      <c r="F99" s="205" t="s">
        <v>880</v>
      </c>
      <c r="G99" s="208">
        <v>-16.736383159972519</v>
      </c>
      <c r="H99" s="208">
        <v>11.489029774177588</v>
      </c>
      <c r="I99" s="208">
        <v>48.068063465564016</v>
      </c>
      <c r="J99" s="208">
        <v>13.581771684287384</v>
      </c>
    </row>
    <row r="100" spans="1:10" x14ac:dyDescent="0.3">
      <c r="A100" s="205" t="s">
        <v>881</v>
      </c>
      <c r="B100" s="210" t="s">
        <v>867</v>
      </c>
      <c r="C100" s="207" t="s">
        <v>1719</v>
      </c>
      <c r="D100" s="205" t="s">
        <v>3</v>
      </c>
      <c r="E100" s="205" t="s">
        <v>676</v>
      </c>
      <c r="F100" s="205" t="s">
        <v>882</v>
      </c>
      <c r="G100" s="208">
        <v>-17.463199105292457</v>
      </c>
      <c r="H100" s="208">
        <v>10.354354299499057</v>
      </c>
      <c r="I100" s="208">
        <v>45.74429406146492</v>
      </c>
      <c r="J100" s="208">
        <v>12.396353782511047</v>
      </c>
    </row>
    <row r="101" spans="1:10" x14ac:dyDescent="0.3">
      <c r="A101" s="205" t="s">
        <v>883</v>
      </c>
      <c r="B101" s="210" t="s">
        <v>867</v>
      </c>
      <c r="C101" s="207" t="s">
        <v>1719</v>
      </c>
      <c r="D101" s="205" t="s">
        <v>3</v>
      </c>
      <c r="E101" s="205" t="s">
        <v>667</v>
      </c>
      <c r="F101" s="205" t="s">
        <v>884</v>
      </c>
      <c r="G101" s="208">
        <v>-18.584143569865102</v>
      </c>
      <c r="H101" s="208">
        <v>9.3551268380741739</v>
      </c>
      <c r="I101" s="208">
        <v>43.006598943751847</v>
      </c>
      <c r="J101" s="208">
        <v>11.771295168436946</v>
      </c>
    </row>
    <row r="102" spans="1:10" x14ac:dyDescent="0.3">
      <c r="A102" s="205" t="s">
        <v>885</v>
      </c>
      <c r="B102" s="210" t="s">
        <v>867</v>
      </c>
      <c r="C102" s="207" t="s">
        <v>1719</v>
      </c>
      <c r="D102" s="205" t="s">
        <v>3</v>
      </c>
      <c r="E102" s="205" t="s">
        <v>667</v>
      </c>
      <c r="F102" s="205" t="s">
        <v>886</v>
      </c>
      <c r="G102" s="208">
        <v>-18.260785168455456</v>
      </c>
      <c r="H102" s="208">
        <v>9.4026996141238275</v>
      </c>
      <c r="I102" s="208">
        <v>41.885559693554399</v>
      </c>
      <c r="J102" s="208">
        <v>12.530155538257468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6"/>
  <sheetViews>
    <sheetView workbookViewId="0">
      <selection activeCell="E1" sqref="E1"/>
    </sheetView>
  </sheetViews>
  <sheetFormatPr baseColWidth="10" defaultRowHeight="14.4" x14ac:dyDescent="0.3"/>
  <cols>
    <col min="1" max="1" width="23.44140625" bestFit="1" customWidth="1"/>
    <col min="2" max="2" width="8.88671875" bestFit="1" customWidth="1"/>
    <col min="3" max="3" width="7.6640625" bestFit="1" customWidth="1"/>
    <col min="4" max="4" width="21.33203125" customWidth="1"/>
  </cols>
  <sheetData>
    <row r="1" spans="1:15" x14ac:dyDescent="0.3">
      <c r="A1" t="s">
        <v>191</v>
      </c>
      <c r="B1" t="s">
        <v>190</v>
      </c>
      <c r="C1" t="s">
        <v>1713</v>
      </c>
      <c r="D1" t="s">
        <v>452</v>
      </c>
      <c r="E1" t="s">
        <v>193</v>
      </c>
      <c r="F1" t="s">
        <v>188</v>
      </c>
      <c r="G1" t="s">
        <v>0</v>
      </c>
      <c r="H1" t="s">
        <v>1523</v>
      </c>
      <c r="I1" t="s">
        <v>460</v>
      </c>
      <c r="J1" t="s">
        <v>461</v>
      </c>
      <c r="K1" t="s">
        <v>1904</v>
      </c>
      <c r="L1" t="s">
        <v>1707</v>
      </c>
      <c r="M1" t="s">
        <v>1708</v>
      </c>
      <c r="N1" t="s">
        <v>139</v>
      </c>
      <c r="O1" t="s">
        <v>140</v>
      </c>
    </row>
    <row r="2" spans="1:15" x14ac:dyDescent="0.3">
      <c r="A2" t="s">
        <v>1723</v>
      </c>
      <c r="B2" t="s">
        <v>1724</v>
      </c>
      <c r="C2" t="s">
        <v>195</v>
      </c>
      <c r="D2" t="s">
        <v>1725</v>
      </c>
      <c r="E2">
        <v>98</v>
      </c>
      <c r="F2" s="539" t="s">
        <v>1719</v>
      </c>
      <c r="G2" t="s">
        <v>15</v>
      </c>
      <c r="H2" t="s">
        <v>283</v>
      </c>
      <c r="I2">
        <v>0.31756000000000001</v>
      </c>
      <c r="J2">
        <v>49.436039999999998</v>
      </c>
      <c r="K2" t="s">
        <v>464</v>
      </c>
      <c r="L2">
        <v>-20.37</v>
      </c>
      <c r="M2">
        <v>15.31</v>
      </c>
      <c r="N2">
        <v>47.7</v>
      </c>
      <c r="O2">
        <v>14.66</v>
      </c>
    </row>
    <row r="3" spans="1:15" x14ac:dyDescent="0.3">
      <c r="A3" t="s">
        <v>1726</v>
      </c>
      <c r="B3" t="s">
        <v>1724</v>
      </c>
      <c r="C3" t="s">
        <v>195</v>
      </c>
      <c r="D3" t="s">
        <v>1725</v>
      </c>
      <c r="E3">
        <v>90</v>
      </c>
      <c r="F3" t="s">
        <v>1719</v>
      </c>
      <c r="G3" t="s">
        <v>15</v>
      </c>
      <c r="H3" t="s">
        <v>283</v>
      </c>
      <c r="I3">
        <v>0.31756000000000001</v>
      </c>
      <c r="J3">
        <v>49.436039999999998</v>
      </c>
      <c r="K3" t="s">
        <v>488</v>
      </c>
      <c r="L3">
        <v>-20.14</v>
      </c>
      <c r="M3">
        <v>15.31</v>
      </c>
      <c r="N3">
        <v>46.37</v>
      </c>
      <c r="O3">
        <v>14.22</v>
      </c>
    </row>
    <row r="4" spans="1:15" x14ac:dyDescent="0.3">
      <c r="A4" t="s">
        <v>1727</v>
      </c>
      <c r="B4" t="s">
        <v>1724</v>
      </c>
      <c r="C4" t="s">
        <v>195</v>
      </c>
      <c r="D4" t="s">
        <v>1725</v>
      </c>
      <c r="E4">
        <v>97</v>
      </c>
      <c r="F4" t="s">
        <v>1719</v>
      </c>
      <c r="G4" t="s">
        <v>15</v>
      </c>
      <c r="H4" t="s">
        <v>283</v>
      </c>
      <c r="I4">
        <v>0.31756000000000001</v>
      </c>
      <c r="J4">
        <v>49.436039999999998</v>
      </c>
      <c r="K4" t="s">
        <v>489</v>
      </c>
      <c r="L4">
        <v>-19.91</v>
      </c>
      <c r="M4">
        <v>15.67</v>
      </c>
      <c r="N4">
        <v>46.17</v>
      </c>
      <c r="O4">
        <v>14.12</v>
      </c>
    </row>
    <row r="5" spans="1:15" x14ac:dyDescent="0.3">
      <c r="A5" t="s">
        <v>1728</v>
      </c>
      <c r="B5" t="s">
        <v>1724</v>
      </c>
      <c r="C5" t="s">
        <v>195</v>
      </c>
      <c r="D5" t="s">
        <v>1725</v>
      </c>
      <c r="E5">
        <v>90</v>
      </c>
      <c r="F5" t="s">
        <v>1719</v>
      </c>
      <c r="G5" t="s">
        <v>15</v>
      </c>
      <c r="H5" t="s">
        <v>283</v>
      </c>
      <c r="I5">
        <v>0.31756000000000001</v>
      </c>
      <c r="J5">
        <v>49.436039999999998</v>
      </c>
      <c r="K5" t="s">
        <v>491</v>
      </c>
      <c r="L5">
        <v>-20.05</v>
      </c>
      <c r="M5">
        <v>14.93</v>
      </c>
      <c r="N5">
        <v>42.93</v>
      </c>
      <c r="O5">
        <v>13.13</v>
      </c>
    </row>
    <row r="6" spans="1:15" x14ac:dyDescent="0.3">
      <c r="A6" t="s">
        <v>1729</v>
      </c>
      <c r="B6" t="s">
        <v>1724</v>
      </c>
      <c r="C6" t="s">
        <v>195</v>
      </c>
      <c r="D6" t="s">
        <v>1725</v>
      </c>
      <c r="E6">
        <v>97</v>
      </c>
      <c r="F6" t="s">
        <v>1719</v>
      </c>
      <c r="G6" t="s">
        <v>15</v>
      </c>
      <c r="H6" t="s">
        <v>283</v>
      </c>
      <c r="I6">
        <v>0.31756000000000001</v>
      </c>
      <c r="J6">
        <v>49.436039999999998</v>
      </c>
      <c r="K6" t="s">
        <v>492</v>
      </c>
      <c r="L6">
        <v>-20.22</v>
      </c>
      <c r="M6">
        <v>15.13</v>
      </c>
      <c r="N6">
        <v>44.57</v>
      </c>
      <c r="O6">
        <v>13.4</v>
      </c>
    </row>
    <row r="7" spans="1:15" x14ac:dyDescent="0.3">
      <c r="A7" t="s">
        <v>1730</v>
      </c>
      <c r="B7" t="s">
        <v>1724</v>
      </c>
      <c r="C7" t="s">
        <v>195</v>
      </c>
      <c r="D7" t="s">
        <v>1725</v>
      </c>
      <c r="E7">
        <v>89</v>
      </c>
      <c r="F7" t="s">
        <v>1719</v>
      </c>
      <c r="G7" t="s">
        <v>15</v>
      </c>
      <c r="H7" t="s">
        <v>281</v>
      </c>
      <c r="I7">
        <v>0.27755000000000002</v>
      </c>
      <c r="J7">
        <v>49.432250000000003</v>
      </c>
      <c r="K7" t="s">
        <v>493</v>
      </c>
      <c r="L7">
        <v>-18.73</v>
      </c>
      <c r="M7">
        <v>13.89</v>
      </c>
      <c r="N7">
        <v>45.31</v>
      </c>
      <c r="O7">
        <v>13.96</v>
      </c>
    </row>
    <row r="8" spans="1:15" x14ac:dyDescent="0.3">
      <c r="A8" t="s">
        <v>1731</v>
      </c>
      <c r="B8" t="s">
        <v>1724</v>
      </c>
      <c r="C8" t="s">
        <v>195</v>
      </c>
      <c r="D8" t="s">
        <v>1732</v>
      </c>
      <c r="E8">
        <v>89</v>
      </c>
      <c r="F8" t="s">
        <v>1719</v>
      </c>
      <c r="G8" t="s">
        <v>15</v>
      </c>
      <c r="H8" t="s">
        <v>285</v>
      </c>
      <c r="I8">
        <v>0.11908000000000001</v>
      </c>
      <c r="J8">
        <v>49.439399999999999</v>
      </c>
      <c r="K8" t="s">
        <v>495</v>
      </c>
      <c r="L8">
        <v>-18.329999999999998</v>
      </c>
      <c r="M8">
        <v>14.6</v>
      </c>
      <c r="N8">
        <v>45.55</v>
      </c>
      <c r="O8">
        <v>13.86</v>
      </c>
    </row>
    <row r="9" spans="1:15" x14ac:dyDescent="0.3">
      <c r="A9" t="s">
        <v>1733</v>
      </c>
      <c r="B9" t="s">
        <v>1724</v>
      </c>
      <c r="C9" t="s">
        <v>195</v>
      </c>
      <c r="D9" t="s">
        <v>1732</v>
      </c>
      <c r="E9">
        <v>105</v>
      </c>
      <c r="F9" t="s">
        <v>1719</v>
      </c>
      <c r="G9" t="s">
        <v>15</v>
      </c>
      <c r="H9" t="s">
        <v>285</v>
      </c>
      <c r="I9">
        <v>0.11908000000000001</v>
      </c>
      <c r="J9">
        <v>49.439399999999999</v>
      </c>
      <c r="K9" t="s">
        <v>496</v>
      </c>
      <c r="L9">
        <v>-18.32</v>
      </c>
      <c r="M9">
        <v>14.35</v>
      </c>
      <c r="N9">
        <v>46.4</v>
      </c>
      <c r="O9">
        <v>14.19</v>
      </c>
    </row>
    <row r="10" spans="1:15" x14ac:dyDescent="0.3">
      <c r="A10" t="s">
        <v>1734</v>
      </c>
      <c r="B10" t="s">
        <v>1724</v>
      </c>
      <c r="C10" t="s">
        <v>195</v>
      </c>
      <c r="D10" t="s">
        <v>1732</v>
      </c>
      <c r="E10">
        <v>86</v>
      </c>
      <c r="F10" t="s">
        <v>1719</v>
      </c>
      <c r="G10" t="s">
        <v>15</v>
      </c>
      <c r="H10" t="s">
        <v>285</v>
      </c>
      <c r="I10">
        <v>0.11908000000000001</v>
      </c>
      <c r="J10">
        <v>49.439399999999999</v>
      </c>
      <c r="K10" t="s">
        <v>497</v>
      </c>
      <c r="L10">
        <v>-18.239999999999998</v>
      </c>
      <c r="M10">
        <v>14.41</v>
      </c>
      <c r="N10">
        <v>45.03</v>
      </c>
      <c r="O10">
        <v>13.75</v>
      </c>
    </row>
    <row r="11" spans="1:15" x14ac:dyDescent="0.3">
      <c r="A11" t="s">
        <v>1735</v>
      </c>
      <c r="B11" t="s">
        <v>1724</v>
      </c>
      <c r="C11" t="s">
        <v>195</v>
      </c>
      <c r="D11" t="s">
        <v>1732</v>
      </c>
      <c r="E11">
        <v>96</v>
      </c>
      <c r="F11" t="s">
        <v>1719</v>
      </c>
      <c r="G11" t="s">
        <v>15</v>
      </c>
      <c r="H11" t="s">
        <v>285</v>
      </c>
      <c r="I11">
        <v>0.11908000000000001</v>
      </c>
      <c r="J11">
        <v>49.439399999999999</v>
      </c>
      <c r="K11" t="s">
        <v>498</v>
      </c>
      <c r="L11">
        <v>-18.52</v>
      </c>
      <c r="M11">
        <v>14.64</v>
      </c>
      <c r="N11">
        <v>47.39</v>
      </c>
      <c r="O11">
        <v>14.27</v>
      </c>
    </row>
    <row r="12" spans="1:15" x14ac:dyDescent="0.3">
      <c r="A12" t="s">
        <v>1736</v>
      </c>
      <c r="B12" t="s">
        <v>1724</v>
      </c>
      <c r="C12" t="s">
        <v>195</v>
      </c>
      <c r="D12" t="s">
        <v>1732</v>
      </c>
      <c r="E12">
        <v>97</v>
      </c>
      <c r="F12" t="s">
        <v>1719</v>
      </c>
      <c r="G12" t="s">
        <v>15</v>
      </c>
      <c r="H12" t="s">
        <v>285</v>
      </c>
      <c r="I12">
        <v>0.11908000000000001</v>
      </c>
      <c r="J12">
        <v>49.439399999999999</v>
      </c>
      <c r="K12" t="s">
        <v>499</v>
      </c>
      <c r="L12">
        <v>-18.309999999999999</v>
      </c>
      <c r="M12">
        <v>14.58</v>
      </c>
      <c r="N12">
        <v>46.16</v>
      </c>
      <c r="O12">
        <v>13.99</v>
      </c>
    </row>
    <row r="13" spans="1:15" x14ac:dyDescent="0.3">
      <c r="A13" t="s">
        <v>1737</v>
      </c>
      <c r="B13" t="s">
        <v>1724</v>
      </c>
      <c r="C13" t="s">
        <v>195</v>
      </c>
      <c r="D13" t="s">
        <v>1732</v>
      </c>
      <c r="E13">
        <v>81</v>
      </c>
      <c r="F13" t="s">
        <v>1719</v>
      </c>
      <c r="G13" t="s">
        <v>15</v>
      </c>
      <c r="H13" t="s">
        <v>285</v>
      </c>
      <c r="I13">
        <v>0.11908000000000001</v>
      </c>
      <c r="J13">
        <v>49.439399999999999</v>
      </c>
      <c r="K13" t="s">
        <v>500</v>
      </c>
      <c r="L13">
        <v>-18.329999999999998</v>
      </c>
      <c r="M13">
        <v>14.35</v>
      </c>
      <c r="N13">
        <v>47.05</v>
      </c>
      <c r="O13">
        <v>14.39</v>
      </c>
    </row>
    <row r="14" spans="1:15" x14ac:dyDescent="0.3">
      <c r="A14" t="s">
        <v>1738</v>
      </c>
      <c r="B14" t="s">
        <v>1724</v>
      </c>
      <c r="C14" t="s">
        <v>195</v>
      </c>
      <c r="D14" t="s">
        <v>1732</v>
      </c>
      <c r="E14">
        <v>99</v>
      </c>
      <c r="F14" t="s">
        <v>1719</v>
      </c>
      <c r="G14" t="s">
        <v>15</v>
      </c>
      <c r="H14" t="s">
        <v>285</v>
      </c>
      <c r="I14">
        <v>0.11908000000000001</v>
      </c>
      <c r="J14">
        <v>49.439399999999999</v>
      </c>
      <c r="K14" t="s">
        <v>501</v>
      </c>
      <c r="L14">
        <v>-21.04</v>
      </c>
      <c r="M14">
        <v>15.72</v>
      </c>
      <c r="N14">
        <v>45.42</v>
      </c>
      <c r="O14">
        <v>13.54</v>
      </c>
    </row>
    <row r="15" spans="1:15" x14ac:dyDescent="0.3">
      <c r="A15" t="s">
        <v>1739</v>
      </c>
      <c r="B15" t="s">
        <v>1724</v>
      </c>
      <c r="C15" t="s">
        <v>195</v>
      </c>
      <c r="D15" t="s">
        <v>1740</v>
      </c>
      <c r="E15">
        <v>111</v>
      </c>
      <c r="F15" t="s">
        <v>1719</v>
      </c>
      <c r="G15" t="s">
        <v>3</v>
      </c>
      <c r="H15" t="s">
        <v>264</v>
      </c>
      <c r="I15">
        <v>9.5610000000000001E-2</v>
      </c>
      <c r="J15">
        <v>49.458350000000003</v>
      </c>
      <c r="K15" t="s">
        <v>465</v>
      </c>
      <c r="L15">
        <v>-17.12</v>
      </c>
      <c r="M15">
        <v>14.02</v>
      </c>
      <c r="N15">
        <v>45.89</v>
      </c>
      <c r="O15">
        <v>14.2</v>
      </c>
    </row>
    <row r="16" spans="1:15" x14ac:dyDescent="0.3">
      <c r="A16" t="s">
        <v>1741</v>
      </c>
      <c r="B16" t="s">
        <v>1724</v>
      </c>
      <c r="C16" t="s">
        <v>195</v>
      </c>
      <c r="D16" t="s">
        <v>1740</v>
      </c>
      <c r="E16">
        <v>87</v>
      </c>
      <c r="F16" t="s">
        <v>1719</v>
      </c>
      <c r="G16" t="s">
        <v>3</v>
      </c>
      <c r="H16" t="s">
        <v>264</v>
      </c>
      <c r="I16">
        <v>9.5610000000000001E-2</v>
      </c>
      <c r="J16">
        <v>49.458350000000003</v>
      </c>
      <c r="K16" t="s">
        <v>466</v>
      </c>
      <c r="L16">
        <v>-17.260000000000002</v>
      </c>
      <c r="M16">
        <v>14.09</v>
      </c>
      <c r="N16">
        <v>46.77</v>
      </c>
      <c r="O16">
        <v>14.72</v>
      </c>
    </row>
    <row r="17" spans="1:15" x14ac:dyDescent="0.3">
      <c r="A17" t="s">
        <v>1742</v>
      </c>
      <c r="B17" t="s">
        <v>1724</v>
      </c>
      <c r="C17" t="s">
        <v>195</v>
      </c>
      <c r="D17" t="s">
        <v>1740</v>
      </c>
      <c r="E17">
        <v>110</v>
      </c>
      <c r="F17" t="s">
        <v>1719</v>
      </c>
      <c r="G17" t="s">
        <v>3</v>
      </c>
      <c r="H17" t="s">
        <v>261</v>
      </c>
      <c r="I17">
        <v>6.2850000000000003E-2</v>
      </c>
      <c r="J17">
        <v>49.463799999999999</v>
      </c>
      <c r="K17" t="s">
        <v>467</v>
      </c>
      <c r="L17">
        <v>-17.149999999999999</v>
      </c>
      <c r="M17">
        <v>14.36</v>
      </c>
      <c r="N17">
        <v>45.6</v>
      </c>
      <c r="O17">
        <v>13.95</v>
      </c>
    </row>
    <row r="18" spans="1:15" x14ac:dyDescent="0.3">
      <c r="A18" t="s">
        <v>1743</v>
      </c>
      <c r="B18" t="s">
        <v>1724</v>
      </c>
      <c r="C18" t="s">
        <v>195</v>
      </c>
      <c r="D18" t="s">
        <v>1740</v>
      </c>
      <c r="E18">
        <v>137</v>
      </c>
      <c r="F18" t="s">
        <v>1719</v>
      </c>
      <c r="G18" t="s">
        <v>3</v>
      </c>
      <c r="H18" t="s">
        <v>261</v>
      </c>
      <c r="I18">
        <v>6.2850000000000003E-2</v>
      </c>
      <c r="J18">
        <v>49.463799999999999</v>
      </c>
      <c r="K18" t="s">
        <v>468</v>
      </c>
      <c r="L18">
        <v>-17.53</v>
      </c>
      <c r="M18">
        <v>13.23</v>
      </c>
      <c r="N18">
        <v>46.31</v>
      </c>
      <c r="O18">
        <v>14.33</v>
      </c>
    </row>
    <row r="19" spans="1:15" x14ac:dyDescent="0.3">
      <c r="A19" t="s">
        <v>1744</v>
      </c>
      <c r="B19" t="s">
        <v>1724</v>
      </c>
      <c r="C19" t="s">
        <v>195</v>
      </c>
      <c r="D19" t="s">
        <v>1740</v>
      </c>
      <c r="E19">
        <v>103</v>
      </c>
      <c r="F19" t="s">
        <v>1719</v>
      </c>
      <c r="G19" t="s">
        <v>3</v>
      </c>
      <c r="H19" t="s">
        <v>261</v>
      </c>
      <c r="I19">
        <v>6.2850000000000003E-2</v>
      </c>
      <c r="J19">
        <v>49.463799999999999</v>
      </c>
      <c r="K19" t="s">
        <v>469</v>
      </c>
      <c r="L19">
        <v>-17.100000000000001</v>
      </c>
      <c r="M19">
        <v>13.46</v>
      </c>
      <c r="N19">
        <v>45.42</v>
      </c>
      <c r="O19">
        <v>14.01</v>
      </c>
    </row>
    <row r="20" spans="1:15" x14ac:dyDescent="0.3">
      <c r="A20" t="s">
        <v>1745</v>
      </c>
      <c r="B20" t="s">
        <v>1724</v>
      </c>
      <c r="C20" t="s">
        <v>195</v>
      </c>
      <c r="D20" t="s">
        <v>1740</v>
      </c>
      <c r="E20">
        <v>112</v>
      </c>
      <c r="F20" t="s">
        <v>1719</v>
      </c>
      <c r="G20" t="s">
        <v>3</v>
      </c>
      <c r="H20" t="s">
        <v>260</v>
      </c>
      <c r="I20">
        <v>3.2149999999999998E-2</v>
      </c>
      <c r="J20">
        <v>49.463520000000003</v>
      </c>
      <c r="K20" t="s">
        <v>470</v>
      </c>
      <c r="L20">
        <v>-16.41</v>
      </c>
      <c r="M20">
        <v>14.76</v>
      </c>
      <c r="N20">
        <v>47.29</v>
      </c>
      <c r="O20">
        <v>14.6</v>
      </c>
    </row>
    <row r="21" spans="1:15" x14ac:dyDescent="0.3">
      <c r="A21" t="s">
        <v>1746</v>
      </c>
      <c r="B21" t="s">
        <v>1724</v>
      </c>
      <c r="C21" t="s">
        <v>195</v>
      </c>
      <c r="D21" t="s">
        <v>1740</v>
      </c>
      <c r="E21">
        <v>98</v>
      </c>
      <c r="F21" t="s">
        <v>1719</v>
      </c>
      <c r="G21" t="s">
        <v>3</v>
      </c>
      <c r="H21" t="s">
        <v>471</v>
      </c>
      <c r="I21">
        <v>5.8009999999999999E-2</v>
      </c>
      <c r="J21">
        <v>49.414119999999997</v>
      </c>
      <c r="K21" t="s">
        <v>472</v>
      </c>
      <c r="L21">
        <v>-16.82</v>
      </c>
      <c r="M21">
        <v>13.7</v>
      </c>
      <c r="N21">
        <v>47.09</v>
      </c>
      <c r="O21">
        <v>14.54</v>
      </c>
    </row>
    <row r="22" spans="1:15" x14ac:dyDescent="0.3">
      <c r="A22" t="s">
        <v>1747</v>
      </c>
      <c r="B22" t="s">
        <v>1724</v>
      </c>
      <c r="C22" t="s">
        <v>195</v>
      </c>
      <c r="D22" t="s">
        <v>1740</v>
      </c>
      <c r="E22">
        <v>117</v>
      </c>
      <c r="F22" t="s">
        <v>1719</v>
      </c>
      <c r="G22" t="s">
        <v>3</v>
      </c>
      <c r="H22" t="s">
        <v>471</v>
      </c>
      <c r="I22">
        <v>5.8009999999999999E-2</v>
      </c>
      <c r="J22">
        <v>49.414119999999997</v>
      </c>
      <c r="K22" t="s">
        <v>473</v>
      </c>
      <c r="L22">
        <v>-17.489999999999998</v>
      </c>
      <c r="M22">
        <v>13.63</v>
      </c>
      <c r="N22">
        <v>46.89</v>
      </c>
      <c r="O22">
        <v>14.47</v>
      </c>
    </row>
    <row r="23" spans="1:15" x14ac:dyDescent="0.3">
      <c r="A23" t="s">
        <v>1748</v>
      </c>
      <c r="B23" t="s">
        <v>1724</v>
      </c>
      <c r="C23" t="s">
        <v>195</v>
      </c>
      <c r="D23" t="s">
        <v>1740</v>
      </c>
      <c r="E23">
        <v>106</v>
      </c>
      <c r="F23" t="s">
        <v>1719</v>
      </c>
      <c r="G23" t="s">
        <v>3</v>
      </c>
      <c r="H23" t="s">
        <v>475</v>
      </c>
      <c r="I23">
        <v>6.1516666999999997E-2</v>
      </c>
      <c r="J23">
        <v>49.404733329999999</v>
      </c>
      <c r="K23" t="s">
        <v>476</v>
      </c>
      <c r="L23">
        <v>-16.670000000000002</v>
      </c>
      <c r="M23">
        <v>13.15</v>
      </c>
      <c r="N23">
        <v>47.22</v>
      </c>
      <c r="O23">
        <v>14.45</v>
      </c>
    </row>
    <row r="24" spans="1:15" x14ac:dyDescent="0.3">
      <c r="A24" t="s">
        <v>1749</v>
      </c>
      <c r="B24" t="s">
        <v>1724</v>
      </c>
      <c r="C24" t="s">
        <v>195</v>
      </c>
      <c r="D24" t="s">
        <v>1740</v>
      </c>
      <c r="E24">
        <v>122</v>
      </c>
      <c r="F24" t="s">
        <v>1719</v>
      </c>
      <c r="G24" t="s">
        <v>3</v>
      </c>
      <c r="H24" t="s">
        <v>475</v>
      </c>
      <c r="I24">
        <v>6.1516666999999997E-2</v>
      </c>
      <c r="J24">
        <v>49.404733329999999</v>
      </c>
      <c r="K24" t="s">
        <v>477</v>
      </c>
      <c r="L24">
        <v>-17.25</v>
      </c>
      <c r="M24">
        <v>13.29</v>
      </c>
      <c r="N24">
        <v>47.52</v>
      </c>
      <c r="O24">
        <v>14.53</v>
      </c>
    </row>
    <row r="25" spans="1:15" x14ac:dyDescent="0.3">
      <c r="A25" t="s">
        <v>1750</v>
      </c>
      <c r="B25" t="s">
        <v>1724</v>
      </c>
      <c r="C25" t="s">
        <v>195</v>
      </c>
      <c r="D25" t="s">
        <v>1740</v>
      </c>
      <c r="E25">
        <v>128</v>
      </c>
      <c r="F25" t="s">
        <v>1719</v>
      </c>
      <c r="G25" t="s">
        <v>3</v>
      </c>
      <c r="H25" t="s">
        <v>475</v>
      </c>
      <c r="I25">
        <v>6.1516666999999997E-2</v>
      </c>
      <c r="J25">
        <v>49.404733329999999</v>
      </c>
      <c r="K25" t="s">
        <v>483</v>
      </c>
      <c r="L25">
        <v>-16.850000000000001</v>
      </c>
      <c r="M25">
        <v>12.9</v>
      </c>
      <c r="N25">
        <v>45.33</v>
      </c>
      <c r="O25">
        <v>14.06</v>
      </c>
    </row>
    <row r="26" spans="1:15" x14ac:dyDescent="0.3">
      <c r="A26" t="s">
        <v>1751</v>
      </c>
      <c r="B26" t="s">
        <v>1724</v>
      </c>
      <c r="C26" t="s">
        <v>195</v>
      </c>
      <c r="D26" t="s">
        <v>1740</v>
      </c>
      <c r="E26">
        <v>165</v>
      </c>
      <c r="F26" t="s">
        <v>1719</v>
      </c>
      <c r="G26" t="s">
        <v>3</v>
      </c>
      <c r="H26" t="s">
        <v>506</v>
      </c>
      <c r="I26">
        <v>8.7533333000000005E-2</v>
      </c>
      <c r="J26">
        <v>49.467199999999998</v>
      </c>
      <c r="K26" t="s">
        <v>507</v>
      </c>
      <c r="L26">
        <v>-17.96</v>
      </c>
      <c r="M26">
        <v>14.04</v>
      </c>
      <c r="N26">
        <v>46.13</v>
      </c>
      <c r="O26">
        <v>14.33</v>
      </c>
    </row>
    <row r="27" spans="1:15" x14ac:dyDescent="0.3">
      <c r="A27" t="s">
        <v>1752</v>
      </c>
      <c r="B27" t="s">
        <v>1724</v>
      </c>
      <c r="C27" t="s">
        <v>195</v>
      </c>
      <c r="D27" t="s">
        <v>1732</v>
      </c>
      <c r="E27">
        <v>104</v>
      </c>
      <c r="F27" t="s">
        <v>1719</v>
      </c>
      <c r="G27" t="s">
        <v>13</v>
      </c>
      <c r="H27" t="s">
        <v>273</v>
      </c>
      <c r="I27">
        <v>0.15440999999999999</v>
      </c>
      <c r="J27">
        <v>49.445500000000003</v>
      </c>
      <c r="K27" t="s">
        <v>518</v>
      </c>
      <c r="L27">
        <v>-18.46</v>
      </c>
      <c r="M27">
        <v>14.6</v>
      </c>
      <c r="N27">
        <v>46.83</v>
      </c>
      <c r="O27">
        <v>14.53</v>
      </c>
    </row>
    <row r="28" spans="1:15" x14ac:dyDescent="0.3">
      <c r="A28" t="s">
        <v>1753</v>
      </c>
      <c r="B28" t="s">
        <v>1724</v>
      </c>
      <c r="C28" t="s">
        <v>195</v>
      </c>
      <c r="D28" t="s">
        <v>1732</v>
      </c>
      <c r="E28">
        <v>106</v>
      </c>
      <c r="F28" t="s">
        <v>1719</v>
      </c>
      <c r="G28" t="s">
        <v>13</v>
      </c>
      <c r="H28" t="s">
        <v>273</v>
      </c>
      <c r="I28">
        <v>0.15440999999999999</v>
      </c>
      <c r="J28">
        <v>49.445500000000003</v>
      </c>
      <c r="K28" t="s">
        <v>519</v>
      </c>
      <c r="L28">
        <v>-18.36</v>
      </c>
      <c r="M28">
        <v>14.43</v>
      </c>
      <c r="N28">
        <v>46.97</v>
      </c>
      <c r="O28">
        <v>14.57</v>
      </c>
    </row>
    <row r="29" spans="1:15" x14ac:dyDescent="0.3">
      <c r="A29" t="s">
        <v>1754</v>
      </c>
      <c r="B29" t="s">
        <v>1724</v>
      </c>
      <c r="C29" t="s">
        <v>195</v>
      </c>
      <c r="D29" t="s">
        <v>1732</v>
      </c>
      <c r="E29">
        <v>101</v>
      </c>
      <c r="F29" t="s">
        <v>1719</v>
      </c>
      <c r="G29" t="s">
        <v>13</v>
      </c>
      <c r="H29" t="s">
        <v>273</v>
      </c>
      <c r="I29">
        <v>0.15440999999999999</v>
      </c>
      <c r="J29">
        <v>49.445500000000003</v>
      </c>
      <c r="K29" t="s">
        <v>520</v>
      </c>
      <c r="L29">
        <v>-18.3</v>
      </c>
      <c r="M29">
        <v>14.3</v>
      </c>
      <c r="N29">
        <v>46.06</v>
      </c>
      <c r="O29">
        <v>14.22</v>
      </c>
    </row>
    <row r="30" spans="1:15" x14ac:dyDescent="0.3">
      <c r="A30" t="s">
        <v>1755</v>
      </c>
      <c r="B30" t="s">
        <v>1724</v>
      </c>
      <c r="C30" t="s">
        <v>195</v>
      </c>
      <c r="D30" t="s">
        <v>1732</v>
      </c>
      <c r="E30">
        <v>108</v>
      </c>
      <c r="F30" t="s">
        <v>1719</v>
      </c>
      <c r="G30" t="s">
        <v>13</v>
      </c>
      <c r="H30" t="s">
        <v>273</v>
      </c>
      <c r="I30">
        <v>0.15440999999999999</v>
      </c>
      <c r="J30">
        <v>49.445500000000003</v>
      </c>
      <c r="K30" t="s">
        <v>521</v>
      </c>
      <c r="L30">
        <v>-18.14</v>
      </c>
      <c r="M30">
        <v>13.9</v>
      </c>
      <c r="N30">
        <v>46.15</v>
      </c>
      <c r="O30">
        <v>14.19</v>
      </c>
    </row>
    <row r="31" spans="1:15" x14ac:dyDescent="0.3">
      <c r="A31" t="s">
        <v>1756</v>
      </c>
      <c r="B31" t="s">
        <v>1724</v>
      </c>
      <c r="C31" t="s">
        <v>195</v>
      </c>
      <c r="D31" t="s">
        <v>1732</v>
      </c>
      <c r="E31">
        <v>136</v>
      </c>
      <c r="F31" t="s">
        <v>1719</v>
      </c>
      <c r="G31" t="s">
        <v>13</v>
      </c>
      <c r="H31" t="s">
        <v>273</v>
      </c>
      <c r="I31">
        <v>0.15440999999999999</v>
      </c>
      <c r="J31">
        <v>49.445500000000003</v>
      </c>
      <c r="K31" t="s">
        <v>522</v>
      </c>
      <c r="L31">
        <v>-14.47</v>
      </c>
      <c r="M31">
        <v>17.16</v>
      </c>
      <c r="N31">
        <v>47.3</v>
      </c>
      <c r="O31">
        <v>14.56</v>
      </c>
    </row>
    <row r="32" spans="1:15" x14ac:dyDescent="0.3">
      <c r="A32" t="s">
        <v>1757</v>
      </c>
      <c r="B32" t="s">
        <v>1724</v>
      </c>
      <c r="C32" t="s">
        <v>195</v>
      </c>
      <c r="D32" t="s">
        <v>1732</v>
      </c>
      <c r="E32">
        <v>107</v>
      </c>
      <c r="F32" t="s">
        <v>1719</v>
      </c>
      <c r="G32" t="s">
        <v>13</v>
      </c>
      <c r="H32" t="s">
        <v>273</v>
      </c>
      <c r="I32">
        <v>0.15440999999999999</v>
      </c>
      <c r="J32">
        <v>49.445500000000003</v>
      </c>
      <c r="K32" t="s">
        <v>524</v>
      </c>
      <c r="L32">
        <v>-18.54</v>
      </c>
      <c r="M32">
        <v>14.19</v>
      </c>
      <c r="N32">
        <v>46.94</v>
      </c>
      <c r="O32">
        <v>14.67</v>
      </c>
    </row>
    <row r="33" spans="1:15" x14ac:dyDescent="0.3">
      <c r="A33" t="s">
        <v>1758</v>
      </c>
      <c r="B33" t="s">
        <v>1724</v>
      </c>
      <c r="C33" t="s">
        <v>195</v>
      </c>
      <c r="D33" t="s">
        <v>1732</v>
      </c>
      <c r="E33">
        <v>110</v>
      </c>
      <c r="F33" t="s">
        <v>1719</v>
      </c>
      <c r="G33" t="s">
        <v>13</v>
      </c>
      <c r="H33" t="s">
        <v>274</v>
      </c>
      <c r="I33">
        <v>0.10571999999999999</v>
      </c>
      <c r="J33">
        <v>49.446919999999999</v>
      </c>
      <c r="K33" t="s">
        <v>525</v>
      </c>
      <c r="L33">
        <v>-18.350000000000001</v>
      </c>
      <c r="M33">
        <v>13.74</v>
      </c>
      <c r="N33">
        <v>46.86</v>
      </c>
      <c r="O33">
        <v>14.61</v>
      </c>
    </row>
    <row r="34" spans="1:15" x14ac:dyDescent="0.3">
      <c r="A34" t="s">
        <v>1759</v>
      </c>
      <c r="B34" t="s">
        <v>1724</v>
      </c>
      <c r="C34" t="s">
        <v>195</v>
      </c>
      <c r="D34" t="s">
        <v>1732</v>
      </c>
      <c r="E34">
        <v>115</v>
      </c>
      <c r="F34" t="s">
        <v>1719</v>
      </c>
      <c r="G34" t="s">
        <v>13</v>
      </c>
      <c r="H34" t="s">
        <v>274</v>
      </c>
      <c r="I34">
        <v>0.10571999999999999</v>
      </c>
      <c r="J34">
        <v>49.446919999999999</v>
      </c>
      <c r="K34" t="s">
        <v>526</v>
      </c>
      <c r="L34">
        <v>-18.59</v>
      </c>
      <c r="M34">
        <v>13.84</v>
      </c>
      <c r="N34">
        <v>46.74</v>
      </c>
      <c r="O34">
        <v>14.63</v>
      </c>
    </row>
    <row r="35" spans="1:15" x14ac:dyDescent="0.3">
      <c r="A35" t="s">
        <v>1760</v>
      </c>
      <c r="B35" t="s">
        <v>1724</v>
      </c>
      <c r="C35" t="s">
        <v>195</v>
      </c>
      <c r="D35" t="s">
        <v>1732</v>
      </c>
      <c r="E35">
        <v>104</v>
      </c>
      <c r="F35" t="s">
        <v>1719</v>
      </c>
      <c r="G35" t="s">
        <v>13</v>
      </c>
      <c r="H35" t="s">
        <v>274</v>
      </c>
      <c r="I35">
        <v>0.10571999999999999</v>
      </c>
      <c r="J35">
        <v>49.446919999999999</v>
      </c>
      <c r="K35" t="s">
        <v>527</v>
      </c>
      <c r="L35">
        <v>-18.29</v>
      </c>
      <c r="M35">
        <v>13.88</v>
      </c>
      <c r="N35">
        <v>47.31</v>
      </c>
      <c r="O35">
        <v>14.66</v>
      </c>
    </row>
    <row r="36" spans="1:15" x14ac:dyDescent="0.3">
      <c r="A36" t="s">
        <v>1761</v>
      </c>
      <c r="B36" t="s">
        <v>1724</v>
      </c>
      <c r="C36" t="s">
        <v>195</v>
      </c>
      <c r="D36" t="s">
        <v>1732</v>
      </c>
      <c r="E36">
        <v>124</v>
      </c>
      <c r="F36" t="s">
        <v>1719</v>
      </c>
      <c r="G36" t="s">
        <v>13</v>
      </c>
      <c r="H36" t="s">
        <v>274</v>
      </c>
      <c r="I36">
        <v>0.10571999999999999</v>
      </c>
      <c r="J36">
        <v>49.446919999999999</v>
      </c>
      <c r="K36" t="s">
        <v>528</v>
      </c>
      <c r="L36">
        <v>-18.600000000000001</v>
      </c>
      <c r="M36">
        <v>13.44</v>
      </c>
      <c r="N36">
        <v>46.51</v>
      </c>
      <c r="O36">
        <v>14.6</v>
      </c>
    </row>
    <row r="37" spans="1:15" x14ac:dyDescent="0.3">
      <c r="A37" t="s">
        <v>1762</v>
      </c>
      <c r="B37" t="s">
        <v>1724</v>
      </c>
      <c r="C37" t="s">
        <v>195</v>
      </c>
      <c r="D37" t="s">
        <v>1732</v>
      </c>
      <c r="E37">
        <v>100</v>
      </c>
      <c r="F37" t="s">
        <v>1719</v>
      </c>
      <c r="G37" t="s">
        <v>13</v>
      </c>
      <c r="H37" t="s">
        <v>274</v>
      </c>
      <c r="I37">
        <v>0.10571999999999999</v>
      </c>
      <c r="J37">
        <v>49.446919999999999</v>
      </c>
      <c r="K37" t="s">
        <v>529</v>
      </c>
      <c r="L37">
        <v>-18.489999999999998</v>
      </c>
      <c r="M37">
        <v>14.21</v>
      </c>
      <c r="N37">
        <v>45.64</v>
      </c>
      <c r="O37">
        <v>14.26</v>
      </c>
    </row>
    <row r="38" spans="1:15" x14ac:dyDescent="0.3">
      <c r="A38" t="s">
        <v>1763</v>
      </c>
      <c r="B38" t="s">
        <v>1724</v>
      </c>
      <c r="C38" t="s">
        <v>195</v>
      </c>
      <c r="D38" t="s">
        <v>1732</v>
      </c>
      <c r="E38">
        <v>107</v>
      </c>
      <c r="F38" t="s">
        <v>1719</v>
      </c>
      <c r="G38" t="s">
        <v>13</v>
      </c>
      <c r="H38" t="s">
        <v>274</v>
      </c>
      <c r="I38">
        <v>0.10571999999999999</v>
      </c>
      <c r="J38">
        <v>49.446919999999999</v>
      </c>
      <c r="K38" t="s">
        <v>536</v>
      </c>
      <c r="L38">
        <v>-18.149999999999999</v>
      </c>
      <c r="M38">
        <v>13.72</v>
      </c>
      <c r="N38">
        <v>46.04</v>
      </c>
      <c r="O38">
        <v>14.33</v>
      </c>
    </row>
    <row r="39" spans="1:15" x14ac:dyDescent="0.3">
      <c r="A39" t="s">
        <v>1764</v>
      </c>
      <c r="B39" t="s">
        <v>1724</v>
      </c>
      <c r="C39" t="s">
        <v>195</v>
      </c>
      <c r="D39" t="s">
        <v>1732</v>
      </c>
      <c r="E39">
        <v>102</v>
      </c>
      <c r="F39" t="s">
        <v>1719</v>
      </c>
      <c r="G39" t="s">
        <v>14</v>
      </c>
      <c r="H39" t="s">
        <v>269</v>
      </c>
      <c r="I39">
        <v>0.17154</v>
      </c>
      <c r="J39">
        <v>49.423870000000001</v>
      </c>
      <c r="K39" t="s">
        <v>503</v>
      </c>
      <c r="L39">
        <v>-18.079999999999998</v>
      </c>
      <c r="M39">
        <v>13.76</v>
      </c>
      <c r="N39">
        <v>46.37</v>
      </c>
      <c r="O39">
        <v>14.23</v>
      </c>
    </row>
    <row r="40" spans="1:15" x14ac:dyDescent="0.3">
      <c r="A40" t="s">
        <v>1765</v>
      </c>
      <c r="B40" t="s">
        <v>1724</v>
      </c>
      <c r="C40" t="s">
        <v>195</v>
      </c>
      <c r="D40" t="s">
        <v>1732</v>
      </c>
      <c r="E40">
        <v>104</v>
      </c>
      <c r="F40" t="s">
        <v>1719</v>
      </c>
      <c r="G40" t="s">
        <v>14</v>
      </c>
      <c r="H40" t="s">
        <v>266</v>
      </c>
      <c r="I40">
        <v>0.14815999999999999</v>
      </c>
      <c r="J40">
        <v>49.422139999999999</v>
      </c>
      <c r="K40" t="s">
        <v>540</v>
      </c>
      <c r="L40">
        <v>-18.329999999999998</v>
      </c>
      <c r="M40">
        <v>13.63</v>
      </c>
      <c r="N40">
        <v>46.57</v>
      </c>
      <c r="O40">
        <v>14.18</v>
      </c>
    </row>
    <row r="41" spans="1:15" x14ac:dyDescent="0.3">
      <c r="A41" t="s">
        <v>1766</v>
      </c>
      <c r="B41" t="s">
        <v>1724</v>
      </c>
      <c r="C41" t="s">
        <v>195</v>
      </c>
      <c r="D41" t="s">
        <v>1732</v>
      </c>
      <c r="E41">
        <v>89</v>
      </c>
      <c r="F41" t="s">
        <v>1719</v>
      </c>
      <c r="G41" t="s">
        <v>14</v>
      </c>
      <c r="H41" t="s">
        <v>266</v>
      </c>
      <c r="I41">
        <v>0.14815999999999999</v>
      </c>
      <c r="J41">
        <v>49.422139999999999</v>
      </c>
      <c r="K41" t="s">
        <v>541</v>
      </c>
      <c r="L41">
        <v>-18.29</v>
      </c>
      <c r="M41">
        <v>13.69</v>
      </c>
      <c r="N41">
        <v>46.55</v>
      </c>
      <c r="O41">
        <v>14.2</v>
      </c>
    </row>
    <row r="42" spans="1:15" x14ac:dyDescent="0.3">
      <c r="A42" t="s">
        <v>1767</v>
      </c>
      <c r="B42" t="s">
        <v>1724</v>
      </c>
      <c r="C42" t="s">
        <v>195</v>
      </c>
      <c r="D42" t="s">
        <v>1732</v>
      </c>
      <c r="E42">
        <v>103</v>
      </c>
      <c r="F42" t="s">
        <v>1719</v>
      </c>
      <c r="G42" t="s">
        <v>14</v>
      </c>
      <c r="H42" t="s">
        <v>266</v>
      </c>
      <c r="I42">
        <v>0.14815999999999999</v>
      </c>
      <c r="J42">
        <v>49.422139999999999</v>
      </c>
      <c r="K42" t="s">
        <v>542</v>
      </c>
      <c r="L42">
        <v>-18.079999999999998</v>
      </c>
      <c r="M42">
        <v>13.69</v>
      </c>
      <c r="N42">
        <v>45.7</v>
      </c>
      <c r="O42">
        <v>14.09</v>
      </c>
    </row>
    <row r="43" spans="1:15" x14ac:dyDescent="0.3">
      <c r="A43" t="s">
        <v>1768</v>
      </c>
      <c r="B43" t="s">
        <v>1724</v>
      </c>
      <c r="C43" t="s">
        <v>195</v>
      </c>
      <c r="D43" t="s">
        <v>1732</v>
      </c>
      <c r="E43">
        <v>98</v>
      </c>
      <c r="F43" t="s">
        <v>1719</v>
      </c>
      <c r="G43" t="s">
        <v>14</v>
      </c>
      <c r="H43" t="s">
        <v>266</v>
      </c>
      <c r="I43">
        <v>0.14815999999999999</v>
      </c>
      <c r="J43">
        <v>49.422139999999999</v>
      </c>
      <c r="K43" t="s">
        <v>543</v>
      </c>
      <c r="L43">
        <v>-18.350000000000001</v>
      </c>
      <c r="M43">
        <v>13.16</v>
      </c>
      <c r="N43">
        <v>47.29</v>
      </c>
      <c r="O43">
        <v>14.53</v>
      </c>
    </row>
    <row r="44" spans="1:15" x14ac:dyDescent="0.3">
      <c r="A44" t="s">
        <v>1769</v>
      </c>
      <c r="B44" t="s">
        <v>1724</v>
      </c>
      <c r="C44" t="s">
        <v>195</v>
      </c>
      <c r="D44" t="s">
        <v>1732</v>
      </c>
      <c r="E44">
        <v>127</v>
      </c>
      <c r="F44" t="s">
        <v>1719</v>
      </c>
      <c r="G44" t="s">
        <v>14</v>
      </c>
      <c r="H44" t="s">
        <v>266</v>
      </c>
      <c r="I44">
        <v>0.14815999999999999</v>
      </c>
      <c r="J44">
        <v>49.422139999999999</v>
      </c>
      <c r="K44" t="s">
        <v>544</v>
      </c>
      <c r="L44">
        <v>-18.22</v>
      </c>
      <c r="M44">
        <v>13.26</v>
      </c>
      <c r="N44">
        <v>58.28</v>
      </c>
      <c r="O44">
        <v>17.989999999999998</v>
      </c>
    </row>
    <row r="45" spans="1:15" x14ac:dyDescent="0.3">
      <c r="A45" t="s">
        <v>1770</v>
      </c>
      <c r="B45" t="s">
        <v>1724</v>
      </c>
      <c r="C45" t="s">
        <v>195</v>
      </c>
      <c r="D45" t="s">
        <v>1732</v>
      </c>
      <c r="E45">
        <v>124</v>
      </c>
      <c r="F45" t="s">
        <v>1719</v>
      </c>
      <c r="G45" t="s">
        <v>14</v>
      </c>
      <c r="H45" t="s">
        <v>266</v>
      </c>
      <c r="I45">
        <v>0.14815999999999999</v>
      </c>
      <c r="J45">
        <v>49.422139999999999</v>
      </c>
      <c r="K45" t="s">
        <v>545</v>
      </c>
      <c r="L45">
        <v>-18.18</v>
      </c>
      <c r="M45">
        <v>13.37</v>
      </c>
      <c r="N45">
        <v>47.11</v>
      </c>
      <c r="O45">
        <v>14.47</v>
      </c>
    </row>
    <row r="46" spans="1:15" x14ac:dyDescent="0.3">
      <c r="A46" t="s">
        <v>1771</v>
      </c>
      <c r="B46" t="s">
        <v>1724</v>
      </c>
      <c r="C46" t="s">
        <v>195</v>
      </c>
      <c r="D46" t="s">
        <v>1732</v>
      </c>
      <c r="E46">
        <v>99</v>
      </c>
      <c r="F46" t="s">
        <v>1719</v>
      </c>
      <c r="G46" t="s">
        <v>14</v>
      </c>
      <c r="H46" t="s">
        <v>266</v>
      </c>
      <c r="I46">
        <v>0.14815999999999999</v>
      </c>
      <c r="J46">
        <v>49.422139999999999</v>
      </c>
      <c r="K46" t="s">
        <v>546</v>
      </c>
      <c r="L46">
        <v>-17.89</v>
      </c>
      <c r="M46">
        <v>13.68</v>
      </c>
      <c r="N46">
        <v>47.37</v>
      </c>
      <c r="O46">
        <v>14.37</v>
      </c>
    </row>
    <row r="47" spans="1:15" x14ac:dyDescent="0.3">
      <c r="A47" t="s">
        <v>1772</v>
      </c>
      <c r="B47" t="s">
        <v>1724</v>
      </c>
      <c r="C47" t="s">
        <v>195</v>
      </c>
      <c r="D47" t="s">
        <v>1732</v>
      </c>
      <c r="E47">
        <v>116</v>
      </c>
      <c r="F47" t="s">
        <v>1719</v>
      </c>
      <c r="G47" t="s">
        <v>14</v>
      </c>
      <c r="H47" t="s">
        <v>266</v>
      </c>
      <c r="I47">
        <v>0.14815999999999999</v>
      </c>
      <c r="J47">
        <v>49.422139999999999</v>
      </c>
      <c r="K47" t="s">
        <v>547</v>
      </c>
      <c r="L47">
        <v>-18.46</v>
      </c>
      <c r="M47">
        <v>13.38</v>
      </c>
      <c r="N47">
        <v>45.73</v>
      </c>
      <c r="O47">
        <v>13.92</v>
      </c>
    </row>
    <row r="48" spans="1:15" x14ac:dyDescent="0.3">
      <c r="A48" t="s">
        <v>1773</v>
      </c>
      <c r="B48" t="s">
        <v>1724</v>
      </c>
      <c r="C48" t="s">
        <v>195</v>
      </c>
      <c r="D48" t="s">
        <v>1732</v>
      </c>
      <c r="E48">
        <v>115</v>
      </c>
      <c r="F48" t="s">
        <v>1719</v>
      </c>
      <c r="G48" t="s">
        <v>14</v>
      </c>
      <c r="H48" t="s">
        <v>266</v>
      </c>
      <c r="I48">
        <v>0.14815999999999999</v>
      </c>
      <c r="J48">
        <v>49.422139999999999</v>
      </c>
      <c r="K48" t="s">
        <v>548</v>
      </c>
      <c r="L48">
        <v>-18.38</v>
      </c>
      <c r="M48">
        <v>13.38</v>
      </c>
      <c r="N48">
        <v>46.05</v>
      </c>
      <c r="O48">
        <v>14.08</v>
      </c>
    </row>
    <row r="49" spans="1:15" x14ac:dyDescent="0.3">
      <c r="A49" t="s">
        <v>1774</v>
      </c>
      <c r="B49" t="s">
        <v>1724</v>
      </c>
      <c r="C49" t="s">
        <v>195</v>
      </c>
      <c r="D49" t="s">
        <v>1732</v>
      </c>
      <c r="E49">
        <v>104</v>
      </c>
      <c r="F49" t="s">
        <v>1719</v>
      </c>
      <c r="G49" t="s">
        <v>14</v>
      </c>
      <c r="H49" t="s">
        <v>266</v>
      </c>
      <c r="I49">
        <v>0.14815999999999999</v>
      </c>
      <c r="J49">
        <v>49.422139999999999</v>
      </c>
      <c r="K49" t="s">
        <v>553</v>
      </c>
      <c r="L49">
        <v>-16.8</v>
      </c>
      <c r="M49">
        <v>13.74</v>
      </c>
      <c r="N49">
        <v>46.31</v>
      </c>
      <c r="O49">
        <v>14.31</v>
      </c>
    </row>
    <row r="50" spans="1:15" x14ac:dyDescent="0.3">
      <c r="A50" t="s">
        <v>1775</v>
      </c>
      <c r="B50" t="s">
        <v>1724</v>
      </c>
      <c r="C50" t="s">
        <v>196</v>
      </c>
      <c r="D50" t="s">
        <v>1776</v>
      </c>
      <c r="E50">
        <v>230</v>
      </c>
      <c r="F50" t="s">
        <v>1719</v>
      </c>
      <c r="G50" t="s">
        <v>15</v>
      </c>
      <c r="H50" t="s">
        <v>283</v>
      </c>
      <c r="I50">
        <v>0.31756000000000001</v>
      </c>
      <c r="J50">
        <v>49.436039999999998</v>
      </c>
      <c r="K50" t="s">
        <v>490</v>
      </c>
      <c r="L50">
        <v>-19.14</v>
      </c>
      <c r="M50">
        <v>15.64</v>
      </c>
      <c r="N50">
        <v>47.19</v>
      </c>
      <c r="O50">
        <v>14.85</v>
      </c>
    </row>
    <row r="51" spans="1:15" x14ac:dyDescent="0.3">
      <c r="A51" t="s">
        <v>1777</v>
      </c>
      <c r="B51" t="s">
        <v>1724</v>
      </c>
      <c r="C51" t="s">
        <v>196</v>
      </c>
      <c r="D51" t="s">
        <v>1778</v>
      </c>
      <c r="E51">
        <v>225</v>
      </c>
      <c r="F51" t="s">
        <v>1719</v>
      </c>
      <c r="G51" t="s">
        <v>15</v>
      </c>
      <c r="H51" t="s">
        <v>282</v>
      </c>
      <c r="I51">
        <v>0.16377</v>
      </c>
      <c r="J51">
        <v>49.438369999999999</v>
      </c>
      <c r="K51" t="s">
        <v>494</v>
      </c>
      <c r="L51">
        <v>-18.36</v>
      </c>
      <c r="M51">
        <v>14.65</v>
      </c>
      <c r="N51">
        <v>46.43</v>
      </c>
      <c r="O51">
        <v>14.56</v>
      </c>
    </row>
    <row r="52" spans="1:15" x14ac:dyDescent="0.3">
      <c r="A52" t="s">
        <v>1779</v>
      </c>
      <c r="B52" t="s">
        <v>1724</v>
      </c>
      <c r="C52" t="s">
        <v>196</v>
      </c>
      <c r="D52" t="s">
        <v>1778</v>
      </c>
      <c r="E52">
        <v>244</v>
      </c>
      <c r="F52" t="s">
        <v>1719</v>
      </c>
      <c r="G52" t="s">
        <v>15</v>
      </c>
      <c r="H52" t="s">
        <v>285</v>
      </c>
      <c r="I52">
        <v>0.11908000000000001</v>
      </c>
      <c r="J52">
        <v>49.439399999999999</v>
      </c>
      <c r="K52" t="s">
        <v>502</v>
      </c>
      <c r="L52">
        <v>-17.309999999999999</v>
      </c>
      <c r="M52">
        <v>14.65</v>
      </c>
      <c r="N52">
        <v>47.06</v>
      </c>
      <c r="O52">
        <v>14.9</v>
      </c>
    </row>
    <row r="53" spans="1:15" x14ac:dyDescent="0.3">
      <c r="A53" t="s">
        <v>1780</v>
      </c>
      <c r="B53" t="s">
        <v>1724</v>
      </c>
      <c r="C53" t="s">
        <v>196</v>
      </c>
      <c r="D53" t="s">
        <v>1781</v>
      </c>
      <c r="E53">
        <v>205</v>
      </c>
      <c r="F53" t="s">
        <v>1719</v>
      </c>
      <c r="G53" t="s">
        <v>3</v>
      </c>
      <c r="H53" t="s">
        <v>471</v>
      </c>
      <c r="I53">
        <v>5.8009999999999999E-2</v>
      </c>
      <c r="J53">
        <v>49.414119999999997</v>
      </c>
      <c r="K53" t="s">
        <v>474</v>
      </c>
      <c r="L53">
        <v>-16.86</v>
      </c>
      <c r="M53">
        <v>13.22</v>
      </c>
      <c r="N53">
        <v>46.47</v>
      </c>
      <c r="O53">
        <v>14.61</v>
      </c>
    </row>
    <row r="54" spans="1:15" x14ac:dyDescent="0.3">
      <c r="A54" t="s">
        <v>1782</v>
      </c>
      <c r="B54" t="s">
        <v>1724</v>
      </c>
      <c r="C54" t="s">
        <v>196</v>
      </c>
      <c r="D54" t="s">
        <v>1781</v>
      </c>
      <c r="E54">
        <v>227</v>
      </c>
      <c r="F54" t="s">
        <v>1719</v>
      </c>
      <c r="G54" t="s">
        <v>3</v>
      </c>
      <c r="H54" t="s">
        <v>475</v>
      </c>
      <c r="I54">
        <v>6.1516666999999997E-2</v>
      </c>
      <c r="J54">
        <v>49.404733329999999</v>
      </c>
      <c r="K54" t="s">
        <v>478</v>
      </c>
      <c r="L54">
        <v>-17.75</v>
      </c>
      <c r="M54">
        <v>13.33</v>
      </c>
      <c r="N54">
        <v>47.39</v>
      </c>
      <c r="O54">
        <v>14.74</v>
      </c>
    </row>
    <row r="55" spans="1:15" x14ac:dyDescent="0.3">
      <c r="A55" t="s">
        <v>1783</v>
      </c>
      <c r="B55" t="s">
        <v>1724</v>
      </c>
      <c r="C55" t="s">
        <v>196</v>
      </c>
      <c r="D55" t="s">
        <v>1781</v>
      </c>
      <c r="E55">
        <v>208</v>
      </c>
      <c r="F55" t="s">
        <v>1719</v>
      </c>
      <c r="G55" t="s">
        <v>3</v>
      </c>
      <c r="H55" t="s">
        <v>475</v>
      </c>
      <c r="I55">
        <v>6.1516666999999997E-2</v>
      </c>
      <c r="J55">
        <v>49.404733329999999</v>
      </c>
      <c r="K55" t="s">
        <v>479</v>
      </c>
      <c r="L55">
        <v>-17.2</v>
      </c>
      <c r="M55">
        <v>13.11</v>
      </c>
      <c r="N55">
        <v>46.83</v>
      </c>
      <c r="O55">
        <v>14.65</v>
      </c>
    </row>
    <row r="56" spans="1:15" x14ac:dyDescent="0.3">
      <c r="A56" t="s">
        <v>1784</v>
      </c>
      <c r="B56" t="s">
        <v>1724</v>
      </c>
      <c r="C56" t="s">
        <v>196</v>
      </c>
      <c r="D56" t="s">
        <v>1781</v>
      </c>
      <c r="E56">
        <v>207</v>
      </c>
      <c r="F56" t="s">
        <v>1719</v>
      </c>
      <c r="G56" t="s">
        <v>3</v>
      </c>
      <c r="H56" t="s">
        <v>475</v>
      </c>
      <c r="I56">
        <v>6.1516666999999997E-2</v>
      </c>
      <c r="J56">
        <v>49.404733329999999</v>
      </c>
      <c r="K56" t="s">
        <v>480</v>
      </c>
      <c r="L56">
        <v>-17.32</v>
      </c>
      <c r="M56">
        <v>13.53</v>
      </c>
      <c r="N56">
        <v>47.34</v>
      </c>
      <c r="O56">
        <v>14.76</v>
      </c>
    </row>
    <row r="57" spans="1:15" x14ac:dyDescent="0.3">
      <c r="A57" t="s">
        <v>1785</v>
      </c>
      <c r="B57" t="s">
        <v>1724</v>
      </c>
      <c r="C57" t="s">
        <v>196</v>
      </c>
      <c r="D57" t="s">
        <v>1781</v>
      </c>
      <c r="E57">
        <v>198</v>
      </c>
      <c r="F57" t="s">
        <v>1719</v>
      </c>
      <c r="G57" t="s">
        <v>3</v>
      </c>
      <c r="H57" t="s">
        <v>475</v>
      </c>
      <c r="I57">
        <v>6.1516666999999997E-2</v>
      </c>
      <c r="J57">
        <v>49.404733329999999</v>
      </c>
      <c r="K57" t="s">
        <v>481</v>
      </c>
      <c r="L57">
        <v>-17.260000000000002</v>
      </c>
      <c r="M57">
        <v>13.07</v>
      </c>
      <c r="N57">
        <v>45.78</v>
      </c>
      <c r="O57">
        <v>14.32</v>
      </c>
    </row>
    <row r="58" spans="1:15" x14ac:dyDescent="0.3">
      <c r="A58" t="s">
        <v>1786</v>
      </c>
      <c r="B58" t="s">
        <v>1724</v>
      </c>
      <c r="C58" t="s">
        <v>196</v>
      </c>
      <c r="D58" t="s">
        <v>1781</v>
      </c>
      <c r="E58">
        <v>204</v>
      </c>
      <c r="F58" t="s">
        <v>1719</v>
      </c>
      <c r="G58" t="s">
        <v>3</v>
      </c>
      <c r="H58" t="s">
        <v>475</v>
      </c>
      <c r="I58">
        <v>6.1516666999999997E-2</v>
      </c>
      <c r="J58">
        <v>49.404733329999999</v>
      </c>
      <c r="K58" t="s">
        <v>482</v>
      </c>
      <c r="L58">
        <v>-17.37</v>
      </c>
      <c r="M58">
        <v>13.06</v>
      </c>
      <c r="N58">
        <v>47.48</v>
      </c>
      <c r="O58">
        <v>14.81</v>
      </c>
    </row>
    <row r="59" spans="1:15" x14ac:dyDescent="0.3">
      <c r="A59" t="s">
        <v>1787</v>
      </c>
      <c r="B59" t="s">
        <v>1724</v>
      </c>
      <c r="C59" t="s">
        <v>196</v>
      </c>
      <c r="D59" t="s">
        <v>1781</v>
      </c>
      <c r="E59">
        <v>203</v>
      </c>
      <c r="F59" t="s">
        <v>1719</v>
      </c>
      <c r="G59" t="s">
        <v>3</v>
      </c>
      <c r="H59" t="s">
        <v>475</v>
      </c>
      <c r="I59">
        <v>6.1516666999999997E-2</v>
      </c>
      <c r="J59">
        <v>49.404733329999999</v>
      </c>
      <c r="K59" t="s">
        <v>484</v>
      </c>
      <c r="L59">
        <v>-17.25</v>
      </c>
      <c r="M59">
        <v>13.15</v>
      </c>
      <c r="N59">
        <v>45.96</v>
      </c>
      <c r="O59">
        <v>14.49</v>
      </c>
    </row>
    <row r="60" spans="1:15" x14ac:dyDescent="0.3">
      <c r="A60" t="s">
        <v>1788</v>
      </c>
      <c r="B60" t="s">
        <v>1724</v>
      </c>
      <c r="C60" t="s">
        <v>196</v>
      </c>
      <c r="D60" t="s">
        <v>1781</v>
      </c>
      <c r="E60">
        <v>239</v>
      </c>
      <c r="F60" t="s">
        <v>1719</v>
      </c>
      <c r="G60" t="s">
        <v>3</v>
      </c>
      <c r="H60" t="s">
        <v>475</v>
      </c>
      <c r="I60">
        <v>6.1516666999999997E-2</v>
      </c>
      <c r="J60">
        <v>49.404733329999999</v>
      </c>
      <c r="K60" t="s">
        <v>485</v>
      </c>
      <c r="L60">
        <v>-17.22</v>
      </c>
      <c r="M60">
        <v>13.52</v>
      </c>
      <c r="N60">
        <v>46.24</v>
      </c>
      <c r="O60">
        <v>14.62</v>
      </c>
    </row>
    <row r="61" spans="1:15" x14ac:dyDescent="0.3">
      <c r="A61" t="s">
        <v>1789</v>
      </c>
      <c r="B61" t="s">
        <v>1724</v>
      </c>
      <c r="C61" t="s">
        <v>196</v>
      </c>
      <c r="D61" t="s">
        <v>1781</v>
      </c>
      <c r="E61">
        <v>235</v>
      </c>
      <c r="F61" t="s">
        <v>1719</v>
      </c>
      <c r="G61" t="s">
        <v>3</v>
      </c>
      <c r="H61" t="s">
        <v>475</v>
      </c>
      <c r="I61">
        <v>6.1516666999999997E-2</v>
      </c>
      <c r="J61">
        <v>49.404733329999999</v>
      </c>
      <c r="K61" t="s">
        <v>486</v>
      </c>
      <c r="L61">
        <v>-17.29</v>
      </c>
      <c r="M61">
        <v>12.68</v>
      </c>
      <c r="N61">
        <v>46.5</v>
      </c>
      <c r="O61">
        <v>14.59</v>
      </c>
    </row>
    <row r="62" spans="1:15" x14ac:dyDescent="0.3">
      <c r="A62" t="s">
        <v>1790</v>
      </c>
      <c r="B62" t="s">
        <v>1724</v>
      </c>
      <c r="C62" t="s">
        <v>196</v>
      </c>
      <c r="D62" t="s">
        <v>1781</v>
      </c>
      <c r="E62">
        <v>201</v>
      </c>
      <c r="F62" t="s">
        <v>1719</v>
      </c>
      <c r="G62" t="s">
        <v>3</v>
      </c>
      <c r="H62" t="s">
        <v>475</v>
      </c>
      <c r="I62">
        <v>6.1516666999999997E-2</v>
      </c>
      <c r="J62">
        <v>49.404733329999999</v>
      </c>
      <c r="K62" t="s">
        <v>487</v>
      </c>
      <c r="L62">
        <v>-17.34</v>
      </c>
      <c r="M62">
        <v>13.26</v>
      </c>
      <c r="N62">
        <v>47.59</v>
      </c>
      <c r="O62">
        <v>14.92</v>
      </c>
    </row>
    <row r="63" spans="1:15" x14ac:dyDescent="0.3">
      <c r="A63" t="s">
        <v>1791</v>
      </c>
      <c r="B63" t="s">
        <v>1724</v>
      </c>
      <c r="C63" t="s">
        <v>196</v>
      </c>
      <c r="D63" t="s">
        <v>1781</v>
      </c>
      <c r="E63">
        <v>201</v>
      </c>
      <c r="F63" t="s">
        <v>1719</v>
      </c>
      <c r="G63" t="s">
        <v>3</v>
      </c>
      <c r="H63" t="s">
        <v>506</v>
      </c>
      <c r="I63">
        <v>8.7533333000000005E-2</v>
      </c>
      <c r="J63">
        <v>49.467199999999998</v>
      </c>
      <c r="K63" t="s">
        <v>508</v>
      </c>
      <c r="L63">
        <v>-18.32</v>
      </c>
      <c r="M63">
        <v>13.91</v>
      </c>
      <c r="N63">
        <v>45.77</v>
      </c>
      <c r="O63">
        <v>14.41</v>
      </c>
    </row>
    <row r="64" spans="1:15" x14ac:dyDescent="0.3">
      <c r="A64" t="s">
        <v>1792</v>
      </c>
      <c r="B64" t="s">
        <v>1724</v>
      </c>
      <c r="C64" t="s">
        <v>196</v>
      </c>
      <c r="D64" t="s">
        <v>1781</v>
      </c>
      <c r="E64">
        <v>233</v>
      </c>
      <c r="F64" t="s">
        <v>1719</v>
      </c>
      <c r="G64" t="s">
        <v>3</v>
      </c>
      <c r="H64" t="s">
        <v>506</v>
      </c>
      <c r="I64">
        <v>8.7533333000000005E-2</v>
      </c>
      <c r="J64">
        <v>49.467199999999998</v>
      </c>
      <c r="K64" t="s">
        <v>509</v>
      </c>
      <c r="L64">
        <v>-18.21</v>
      </c>
      <c r="M64">
        <v>14.05</v>
      </c>
      <c r="N64">
        <v>45.15</v>
      </c>
      <c r="O64">
        <v>14.23</v>
      </c>
    </row>
    <row r="65" spans="1:15" x14ac:dyDescent="0.3">
      <c r="A65" t="s">
        <v>1793</v>
      </c>
      <c r="B65" t="s">
        <v>1724</v>
      </c>
      <c r="C65" t="s">
        <v>196</v>
      </c>
      <c r="D65" t="s">
        <v>1781</v>
      </c>
      <c r="E65">
        <v>220</v>
      </c>
      <c r="F65" t="s">
        <v>1719</v>
      </c>
      <c r="G65" t="s">
        <v>3</v>
      </c>
      <c r="H65" t="s">
        <v>506</v>
      </c>
      <c r="I65">
        <v>8.7533333000000005E-2</v>
      </c>
      <c r="J65">
        <v>49.467199999999998</v>
      </c>
      <c r="K65" t="s">
        <v>510</v>
      </c>
      <c r="L65">
        <v>-17.899999999999999</v>
      </c>
      <c r="M65">
        <v>13.51</v>
      </c>
      <c r="N65">
        <v>47.15</v>
      </c>
      <c r="O65">
        <v>14.82</v>
      </c>
    </row>
    <row r="66" spans="1:15" x14ac:dyDescent="0.3">
      <c r="A66" t="s">
        <v>1794</v>
      </c>
      <c r="B66" t="s">
        <v>1724</v>
      </c>
      <c r="C66" t="s">
        <v>196</v>
      </c>
      <c r="D66" t="s">
        <v>1781</v>
      </c>
      <c r="E66">
        <v>221</v>
      </c>
      <c r="F66" t="s">
        <v>1719</v>
      </c>
      <c r="G66" t="s">
        <v>3</v>
      </c>
      <c r="H66" t="s">
        <v>506</v>
      </c>
      <c r="I66">
        <v>8.7533333000000005E-2</v>
      </c>
      <c r="J66">
        <v>49.467199999999998</v>
      </c>
      <c r="K66" t="s">
        <v>511</v>
      </c>
      <c r="L66">
        <v>-18.14</v>
      </c>
      <c r="M66">
        <v>13.6</v>
      </c>
      <c r="N66">
        <v>47.7</v>
      </c>
      <c r="O66">
        <v>14.92</v>
      </c>
    </row>
    <row r="67" spans="1:15" x14ac:dyDescent="0.3">
      <c r="A67" t="s">
        <v>1795</v>
      </c>
      <c r="B67" t="s">
        <v>1724</v>
      </c>
      <c r="C67" t="s">
        <v>196</v>
      </c>
      <c r="D67" t="s">
        <v>1778</v>
      </c>
      <c r="E67">
        <v>220</v>
      </c>
      <c r="F67" t="s">
        <v>1719</v>
      </c>
      <c r="G67" t="s">
        <v>13</v>
      </c>
      <c r="H67" t="s">
        <v>514</v>
      </c>
      <c r="I67">
        <v>9.6833332999999994E-2</v>
      </c>
      <c r="J67">
        <v>49.448933330000003</v>
      </c>
      <c r="K67" t="s">
        <v>515</v>
      </c>
      <c r="L67">
        <v>-18.39</v>
      </c>
      <c r="M67">
        <v>13.53</v>
      </c>
      <c r="N67">
        <v>44.54</v>
      </c>
      <c r="O67">
        <v>13.88</v>
      </c>
    </row>
    <row r="68" spans="1:15" x14ac:dyDescent="0.3">
      <c r="A68" t="s">
        <v>1796</v>
      </c>
      <c r="B68" t="s">
        <v>1724</v>
      </c>
      <c r="C68" t="s">
        <v>196</v>
      </c>
      <c r="D68" t="s">
        <v>1778</v>
      </c>
      <c r="E68">
        <v>216</v>
      </c>
      <c r="F68" t="s">
        <v>1719</v>
      </c>
      <c r="G68" t="s">
        <v>13</v>
      </c>
      <c r="H68" t="s">
        <v>514</v>
      </c>
      <c r="I68">
        <v>9.6833332999999994E-2</v>
      </c>
      <c r="J68">
        <v>49.448933330000003</v>
      </c>
      <c r="K68" t="s">
        <v>516</v>
      </c>
      <c r="L68">
        <v>-17.87</v>
      </c>
      <c r="M68">
        <v>13.55</v>
      </c>
      <c r="N68">
        <v>45.99</v>
      </c>
      <c r="O68">
        <v>14.43</v>
      </c>
    </row>
    <row r="69" spans="1:15" x14ac:dyDescent="0.3">
      <c r="A69" t="s">
        <v>1797</v>
      </c>
      <c r="B69" t="s">
        <v>1724</v>
      </c>
      <c r="C69" t="s">
        <v>196</v>
      </c>
      <c r="D69" t="s">
        <v>1778</v>
      </c>
      <c r="E69">
        <v>198</v>
      </c>
      <c r="F69" t="s">
        <v>1719</v>
      </c>
      <c r="G69" t="s">
        <v>13</v>
      </c>
      <c r="H69" t="s">
        <v>514</v>
      </c>
      <c r="I69">
        <v>9.6833332999999994E-2</v>
      </c>
      <c r="J69">
        <v>49.448933330000003</v>
      </c>
      <c r="K69" t="s">
        <v>517</v>
      </c>
      <c r="L69">
        <v>-18.61</v>
      </c>
      <c r="M69">
        <v>13.69</v>
      </c>
      <c r="N69">
        <v>47.47</v>
      </c>
      <c r="O69">
        <v>14.95</v>
      </c>
    </row>
    <row r="70" spans="1:15" x14ac:dyDescent="0.3">
      <c r="A70" t="s">
        <v>1798</v>
      </c>
      <c r="B70" t="s">
        <v>1724</v>
      </c>
      <c r="C70" t="s">
        <v>196</v>
      </c>
      <c r="D70" t="s">
        <v>1778</v>
      </c>
      <c r="E70">
        <v>238</v>
      </c>
      <c r="F70" t="s">
        <v>1719</v>
      </c>
      <c r="G70" t="s">
        <v>13</v>
      </c>
      <c r="H70" t="s">
        <v>273</v>
      </c>
      <c r="I70">
        <v>0.15440999999999999</v>
      </c>
      <c r="J70">
        <v>49.445500000000003</v>
      </c>
      <c r="K70" t="s">
        <v>523</v>
      </c>
      <c r="L70">
        <v>-16.77</v>
      </c>
      <c r="M70">
        <v>15.42</v>
      </c>
      <c r="N70">
        <v>45.46</v>
      </c>
      <c r="O70">
        <v>14.39</v>
      </c>
    </row>
    <row r="71" spans="1:15" x14ac:dyDescent="0.3">
      <c r="A71" t="s">
        <v>1799</v>
      </c>
      <c r="B71" t="s">
        <v>1724</v>
      </c>
      <c r="C71" t="s">
        <v>196</v>
      </c>
      <c r="D71" t="s">
        <v>1778</v>
      </c>
      <c r="E71">
        <v>216</v>
      </c>
      <c r="F71" t="s">
        <v>1719</v>
      </c>
      <c r="G71" t="s">
        <v>13</v>
      </c>
      <c r="H71" t="s">
        <v>274</v>
      </c>
      <c r="I71">
        <v>0.10571999999999999</v>
      </c>
      <c r="J71">
        <v>49.446919999999999</v>
      </c>
      <c r="K71" t="s">
        <v>530</v>
      </c>
      <c r="L71">
        <v>-18.25</v>
      </c>
      <c r="M71">
        <v>13.55</v>
      </c>
      <c r="N71">
        <v>45.56</v>
      </c>
      <c r="O71">
        <v>14.56</v>
      </c>
    </row>
    <row r="72" spans="1:15" x14ac:dyDescent="0.3">
      <c r="A72" t="s">
        <v>1800</v>
      </c>
      <c r="B72" t="s">
        <v>1724</v>
      </c>
      <c r="C72" t="s">
        <v>196</v>
      </c>
      <c r="D72" t="s">
        <v>1778</v>
      </c>
      <c r="E72">
        <v>220</v>
      </c>
      <c r="F72" t="s">
        <v>1719</v>
      </c>
      <c r="G72" t="s">
        <v>13</v>
      </c>
      <c r="H72" t="s">
        <v>274</v>
      </c>
      <c r="I72">
        <v>0.10571999999999999</v>
      </c>
      <c r="J72">
        <v>49.446919999999999</v>
      </c>
      <c r="K72" t="s">
        <v>531</v>
      </c>
      <c r="L72">
        <v>-18.79</v>
      </c>
      <c r="M72">
        <v>14.51</v>
      </c>
      <c r="N72">
        <v>46.36</v>
      </c>
      <c r="O72">
        <v>14.55</v>
      </c>
    </row>
    <row r="73" spans="1:15" x14ac:dyDescent="0.3">
      <c r="A73" t="s">
        <v>1801</v>
      </c>
      <c r="B73" t="s">
        <v>1724</v>
      </c>
      <c r="C73" t="s">
        <v>196</v>
      </c>
      <c r="D73" t="s">
        <v>1778</v>
      </c>
      <c r="E73">
        <v>187</v>
      </c>
      <c r="F73" t="s">
        <v>1719</v>
      </c>
      <c r="G73" t="s">
        <v>13</v>
      </c>
      <c r="H73" t="s">
        <v>274</v>
      </c>
      <c r="I73">
        <v>0.10571999999999999</v>
      </c>
      <c r="J73">
        <v>49.446919999999999</v>
      </c>
      <c r="K73" t="s">
        <v>532</v>
      </c>
      <c r="L73">
        <v>-17.899999999999999</v>
      </c>
      <c r="M73">
        <v>13.99</v>
      </c>
      <c r="N73">
        <v>47.22</v>
      </c>
      <c r="O73">
        <v>14.85</v>
      </c>
    </row>
    <row r="74" spans="1:15" x14ac:dyDescent="0.3">
      <c r="A74" t="s">
        <v>1802</v>
      </c>
      <c r="B74" t="s">
        <v>1724</v>
      </c>
      <c r="C74" t="s">
        <v>196</v>
      </c>
      <c r="D74" t="s">
        <v>1778</v>
      </c>
      <c r="E74">
        <v>194</v>
      </c>
      <c r="F74" t="s">
        <v>1719</v>
      </c>
      <c r="G74" t="s">
        <v>13</v>
      </c>
      <c r="H74" t="s">
        <v>274</v>
      </c>
      <c r="I74">
        <v>0.10571999999999999</v>
      </c>
      <c r="J74">
        <v>49.446919999999999</v>
      </c>
      <c r="K74" t="s">
        <v>533</v>
      </c>
      <c r="L74">
        <v>-18.34</v>
      </c>
      <c r="M74">
        <v>13.77</v>
      </c>
      <c r="N74">
        <v>47.15</v>
      </c>
      <c r="O74">
        <v>14.79</v>
      </c>
    </row>
    <row r="75" spans="1:15" x14ac:dyDescent="0.3">
      <c r="A75" t="s">
        <v>1803</v>
      </c>
      <c r="B75" t="s">
        <v>1724</v>
      </c>
      <c r="C75" t="s">
        <v>196</v>
      </c>
      <c r="D75" t="s">
        <v>1778</v>
      </c>
      <c r="E75">
        <v>230</v>
      </c>
      <c r="F75" t="s">
        <v>1719</v>
      </c>
      <c r="G75" t="s">
        <v>13</v>
      </c>
      <c r="H75" t="s">
        <v>274</v>
      </c>
      <c r="I75">
        <v>0.10571999999999999</v>
      </c>
      <c r="J75">
        <v>49.446919999999999</v>
      </c>
      <c r="K75" t="s">
        <v>534</v>
      </c>
      <c r="L75">
        <v>-18.420000000000002</v>
      </c>
      <c r="M75">
        <v>14.18</v>
      </c>
      <c r="N75">
        <v>46.43</v>
      </c>
      <c r="O75">
        <v>14.66</v>
      </c>
    </row>
    <row r="76" spans="1:15" x14ac:dyDescent="0.3">
      <c r="A76" t="s">
        <v>1804</v>
      </c>
      <c r="B76" t="s">
        <v>1724</v>
      </c>
      <c r="C76" t="s">
        <v>196</v>
      </c>
      <c r="D76" t="s">
        <v>1778</v>
      </c>
      <c r="E76">
        <v>241</v>
      </c>
      <c r="F76" t="s">
        <v>1719</v>
      </c>
      <c r="G76" t="s">
        <v>13</v>
      </c>
      <c r="H76" t="s">
        <v>274</v>
      </c>
      <c r="I76">
        <v>0.10571999999999999</v>
      </c>
      <c r="J76">
        <v>49.446919999999999</v>
      </c>
      <c r="K76" t="s">
        <v>535</v>
      </c>
      <c r="L76">
        <v>-17.899999999999999</v>
      </c>
      <c r="M76">
        <v>13.94</v>
      </c>
      <c r="N76">
        <v>46.92</v>
      </c>
      <c r="O76">
        <v>14.8</v>
      </c>
    </row>
    <row r="77" spans="1:15" x14ac:dyDescent="0.3">
      <c r="A77" t="s">
        <v>1805</v>
      </c>
      <c r="B77" t="s">
        <v>1724</v>
      </c>
      <c r="C77" t="s">
        <v>196</v>
      </c>
      <c r="D77" t="s">
        <v>1778</v>
      </c>
      <c r="E77">
        <v>195</v>
      </c>
      <c r="F77" t="s">
        <v>1719</v>
      </c>
      <c r="G77" t="s">
        <v>13</v>
      </c>
      <c r="H77" t="s">
        <v>274</v>
      </c>
      <c r="I77">
        <v>0.10571999999999999</v>
      </c>
      <c r="J77">
        <v>49.446919999999999</v>
      </c>
      <c r="K77" t="s">
        <v>537</v>
      </c>
      <c r="L77">
        <v>-17.97</v>
      </c>
      <c r="M77">
        <v>13.42</v>
      </c>
      <c r="N77">
        <v>47.7</v>
      </c>
      <c r="O77">
        <v>14.8</v>
      </c>
    </row>
    <row r="78" spans="1:15" x14ac:dyDescent="0.3">
      <c r="A78" t="s">
        <v>1806</v>
      </c>
      <c r="B78" t="s">
        <v>1724</v>
      </c>
      <c r="C78" t="s">
        <v>196</v>
      </c>
      <c r="D78" t="s">
        <v>1778</v>
      </c>
      <c r="E78">
        <v>215</v>
      </c>
      <c r="F78" t="s">
        <v>1719</v>
      </c>
      <c r="G78" t="s">
        <v>13</v>
      </c>
      <c r="H78" t="s">
        <v>274</v>
      </c>
      <c r="I78">
        <v>0.10571999999999999</v>
      </c>
      <c r="J78">
        <v>49.446919999999999</v>
      </c>
      <c r="K78" t="s">
        <v>538</v>
      </c>
      <c r="L78">
        <v>-18.22</v>
      </c>
      <c r="M78">
        <v>13.34</v>
      </c>
      <c r="N78">
        <v>47.54</v>
      </c>
      <c r="O78">
        <v>14.92</v>
      </c>
    </row>
    <row r="79" spans="1:15" x14ac:dyDescent="0.3">
      <c r="A79" t="s">
        <v>1807</v>
      </c>
      <c r="B79" t="s">
        <v>1724</v>
      </c>
      <c r="C79" t="s">
        <v>196</v>
      </c>
      <c r="D79" t="s">
        <v>1778</v>
      </c>
      <c r="E79">
        <v>221</v>
      </c>
      <c r="F79" t="s">
        <v>1719</v>
      </c>
      <c r="G79" t="s">
        <v>14</v>
      </c>
      <c r="H79" t="s">
        <v>269</v>
      </c>
      <c r="I79">
        <v>0.17154</v>
      </c>
      <c r="J79">
        <v>49.423870000000001</v>
      </c>
      <c r="K79" t="s">
        <v>504</v>
      </c>
      <c r="L79">
        <v>-18.64</v>
      </c>
      <c r="M79">
        <v>13.4</v>
      </c>
      <c r="N79">
        <v>45.97</v>
      </c>
      <c r="O79">
        <v>14.35</v>
      </c>
    </row>
    <row r="80" spans="1:15" x14ac:dyDescent="0.3">
      <c r="A80" t="s">
        <v>1808</v>
      </c>
      <c r="B80" t="s">
        <v>1724</v>
      </c>
      <c r="C80" t="s">
        <v>196</v>
      </c>
      <c r="D80" t="s">
        <v>1778</v>
      </c>
      <c r="E80">
        <v>233</v>
      </c>
      <c r="F80" t="s">
        <v>1719</v>
      </c>
      <c r="G80" t="s">
        <v>14</v>
      </c>
      <c r="H80" t="s">
        <v>266</v>
      </c>
      <c r="I80">
        <v>0.14815999999999999</v>
      </c>
      <c r="J80">
        <v>49.422139999999999</v>
      </c>
      <c r="K80" t="s">
        <v>549</v>
      </c>
      <c r="L80">
        <v>-18.22</v>
      </c>
      <c r="M80">
        <v>14.35</v>
      </c>
      <c r="N80">
        <v>46.04</v>
      </c>
      <c r="O80">
        <v>14.51</v>
      </c>
    </row>
    <row r="81" spans="1:15" x14ac:dyDescent="0.3">
      <c r="A81" t="s">
        <v>1809</v>
      </c>
      <c r="B81" t="s">
        <v>1724</v>
      </c>
      <c r="C81" t="s">
        <v>196</v>
      </c>
      <c r="D81" t="s">
        <v>1778</v>
      </c>
      <c r="E81">
        <v>213</v>
      </c>
      <c r="F81" t="s">
        <v>1719</v>
      </c>
      <c r="G81" t="s">
        <v>14</v>
      </c>
      <c r="H81" t="s">
        <v>266</v>
      </c>
      <c r="I81">
        <v>0.14815999999999999</v>
      </c>
      <c r="J81">
        <v>49.422139999999999</v>
      </c>
      <c r="K81" t="s">
        <v>550</v>
      </c>
      <c r="L81">
        <v>-17.91</v>
      </c>
      <c r="M81">
        <v>13.43</v>
      </c>
      <c r="N81">
        <v>46.76</v>
      </c>
      <c r="O81">
        <v>14.93</v>
      </c>
    </row>
    <row r="82" spans="1:15" x14ac:dyDescent="0.3">
      <c r="A82" t="s">
        <v>1810</v>
      </c>
      <c r="B82" t="s">
        <v>1724</v>
      </c>
      <c r="C82" t="s">
        <v>196</v>
      </c>
      <c r="D82" t="s">
        <v>1778</v>
      </c>
      <c r="E82">
        <v>220</v>
      </c>
      <c r="F82" t="s">
        <v>1719</v>
      </c>
      <c r="G82" t="s">
        <v>14</v>
      </c>
      <c r="H82" t="s">
        <v>266</v>
      </c>
      <c r="I82">
        <v>0.14815999999999999</v>
      </c>
      <c r="J82">
        <v>49.422139999999999</v>
      </c>
      <c r="K82" t="s">
        <v>551</v>
      </c>
      <c r="L82">
        <v>-18.27</v>
      </c>
      <c r="M82">
        <v>13.9</v>
      </c>
      <c r="N82">
        <v>46.92</v>
      </c>
      <c r="O82">
        <v>14.62</v>
      </c>
    </row>
    <row r="83" spans="1:15" x14ac:dyDescent="0.3">
      <c r="A83" t="s">
        <v>1811</v>
      </c>
      <c r="B83" t="s">
        <v>1724</v>
      </c>
      <c r="C83" t="s">
        <v>196</v>
      </c>
      <c r="D83" t="s">
        <v>1778</v>
      </c>
      <c r="E83">
        <v>240</v>
      </c>
      <c r="F83" t="s">
        <v>1719</v>
      </c>
      <c r="G83" t="s">
        <v>14</v>
      </c>
      <c r="H83" t="s">
        <v>266</v>
      </c>
      <c r="I83">
        <v>0.14815999999999999</v>
      </c>
      <c r="J83">
        <v>49.422139999999999</v>
      </c>
      <c r="K83" t="s">
        <v>552</v>
      </c>
      <c r="L83">
        <v>-17.59</v>
      </c>
      <c r="M83">
        <v>13.22</v>
      </c>
      <c r="N83">
        <v>47.63</v>
      </c>
      <c r="O83">
        <v>14.92</v>
      </c>
    </row>
    <row r="84" spans="1:15" x14ac:dyDescent="0.3">
      <c r="A84" t="s">
        <v>1812</v>
      </c>
      <c r="B84" t="s">
        <v>1724</v>
      </c>
      <c r="C84" t="s">
        <v>196</v>
      </c>
      <c r="D84" t="s">
        <v>1778</v>
      </c>
      <c r="E84">
        <v>233</v>
      </c>
      <c r="F84" t="s">
        <v>1719</v>
      </c>
      <c r="G84" t="s">
        <v>14</v>
      </c>
      <c r="H84" t="s">
        <v>266</v>
      </c>
      <c r="I84">
        <v>0.14815999999999999</v>
      </c>
      <c r="J84">
        <v>49.422139999999999</v>
      </c>
      <c r="K84" t="s">
        <v>554</v>
      </c>
      <c r="L84">
        <v>-18.059999999999999</v>
      </c>
      <c r="M84">
        <v>13.35</v>
      </c>
      <c r="N84">
        <v>46.86</v>
      </c>
      <c r="O84">
        <v>14.52</v>
      </c>
    </row>
    <row r="85" spans="1:15" x14ac:dyDescent="0.3">
      <c r="A85" t="s">
        <v>1813</v>
      </c>
      <c r="B85" t="s">
        <v>1724</v>
      </c>
      <c r="C85" t="s">
        <v>196</v>
      </c>
      <c r="D85" t="s">
        <v>1778</v>
      </c>
      <c r="E85">
        <v>234</v>
      </c>
      <c r="F85" t="s">
        <v>1719</v>
      </c>
      <c r="G85" t="s">
        <v>14</v>
      </c>
      <c r="H85" t="s">
        <v>266</v>
      </c>
      <c r="I85">
        <v>0.14815999999999999</v>
      </c>
      <c r="J85">
        <v>49.422139999999999</v>
      </c>
      <c r="K85" t="s">
        <v>555</v>
      </c>
      <c r="L85">
        <v>-17.79</v>
      </c>
      <c r="M85">
        <v>12.71</v>
      </c>
      <c r="N85">
        <v>46.75</v>
      </c>
      <c r="O85">
        <v>14.5</v>
      </c>
    </row>
    <row r="86" spans="1:15" x14ac:dyDescent="0.3">
      <c r="A86" t="s">
        <v>1814</v>
      </c>
      <c r="B86" t="s">
        <v>1724</v>
      </c>
      <c r="C86" t="s">
        <v>196</v>
      </c>
      <c r="D86" t="s">
        <v>1778</v>
      </c>
      <c r="E86">
        <v>253</v>
      </c>
      <c r="F86" t="s">
        <v>1719</v>
      </c>
      <c r="G86" t="s">
        <v>14</v>
      </c>
      <c r="H86" t="s">
        <v>556</v>
      </c>
      <c r="I86">
        <v>0.14701666699999999</v>
      </c>
      <c r="J86">
        <v>49.421633329999999</v>
      </c>
      <c r="K86" t="s">
        <v>557</v>
      </c>
      <c r="L86">
        <v>-18.32</v>
      </c>
      <c r="M86">
        <v>13.35</v>
      </c>
      <c r="N86">
        <v>46.63</v>
      </c>
      <c r="O86">
        <v>14.7</v>
      </c>
    </row>
    <row r="87" spans="1:15" x14ac:dyDescent="0.3">
      <c r="A87" t="s">
        <v>1815</v>
      </c>
      <c r="B87" t="s">
        <v>1724</v>
      </c>
      <c r="C87" t="s">
        <v>196</v>
      </c>
      <c r="D87" t="s">
        <v>1778</v>
      </c>
      <c r="E87">
        <v>232</v>
      </c>
      <c r="F87" t="s">
        <v>1719</v>
      </c>
      <c r="G87" t="s">
        <v>14</v>
      </c>
      <c r="H87" t="s">
        <v>556</v>
      </c>
      <c r="I87">
        <v>0.14701666699999999</v>
      </c>
      <c r="J87">
        <v>49.421633329999999</v>
      </c>
      <c r="K87" t="s">
        <v>558</v>
      </c>
      <c r="L87">
        <v>-18.55</v>
      </c>
      <c r="M87">
        <v>13.42</v>
      </c>
      <c r="N87">
        <v>47.05</v>
      </c>
      <c r="O87">
        <v>14.68</v>
      </c>
    </row>
    <row r="88" spans="1:15" x14ac:dyDescent="0.3">
      <c r="A88" t="s">
        <v>1816</v>
      </c>
      <c r="B88" t="s">
        <v>1724</v>
      </c>
      <c r="C88" t="s">
        <v>196</v>
      </c>
      <c r="D88" t="s">
        <v>1778</v>
      </c>
      <c r="E88">
        <v>227</v>
      </c>
      <c r="F88" t="s">
        <v>1719</v>
      </c>
      <c r="G88" t="s">
        <v>14</v>
      </c>
      <c r="H88" t="s">
        <v>556</v>
      </c>
      <c r="I88">
        <v>0.14701666699999999</v>
      </c>
      <c r="J88">
        <v>49.421633329999999</v>
      </c>
      <c r="K88" t="s">
        <v>559</v>
      </c>
      <c r="L88">
        <v>-18.309999999999999</v>
      </c>
      <c r="M88">
        <v>13.22</v>
      </c>
      <c r="N88">
        <v>48.16</v>
      </c>
      <c r="O88">
        <v>15.07</v>
      </c>
    </row>
    <row r="89" spans="1:15" x14ac:dyDescent="0.3">
      <c r="A89" t="s">
        <v>1817</v>
      </c>
      <c r="B89" t="s">
        <v>1724</v>
      </c>
      <c r="C89" t="s">
        <v>196</v>
      </c>
      <c r="D89" t="s">
        <v>1778</v>
      </c>
      <c r="E89">
        <v>241</v>
      </c>
      <c r="F89" t="s">
        <v>1719</v>
      </c>
      <c r="G89" t="s">
        <v>14</v>
      </c>
      <c r="H89" t="s">
        <v>556</v>
      </c>
      <c r="I89">
        <v>0.14701666699999999</v>
      </c>
      <c r="J89">
        <v>49.421633329999999</v>
      </c>
      <c r="K89" t="s">
        <v>560</v>
      </c>
      <c r="L89">
        <v>-17.88</v>
      </c>
      <c r="M89">
        <v>13.15</v>
      </c>
      <c r="N89">
        <v>47.6</v>
      </c>
      <c r="O89">
        <v>14.59</v>
      </c>
    </row>
    <row r="90" spans="1:15" x14ac:dyDescent="0.3">
      <c r="A90" t="s">
        <v>1818</v>
      </c>
      <c r="B90" t="s">
        <v>1724</v>
      </c>
      <c r="C90" t="s">
        <v>196</v>
      </c>
      <c r="D90" t="s">
        <v>1781</v>
      </c>
      <c r="E90">
        <v>206</v>
      </c>
      <c r="F90" t="s">
        <v>1719</v>
      </c>
      <c r="G90" t="s">
        <v>14</v>
      </c>
      <c r="H90" t="s">
        <v>268</v>
      </c>
      <c r="I90">
        <v>9.0529999999999999E-2</v>
      </c>
      <c r="J90">
        <v>49.405589999999997</v>
      </c>
      <c r="K90" t="s">
        <v>562</v>
      </c>
      <c r="L90">
        <v>-17.96</v>
      </c>
      <c r="M90">
        <v>13.21</v>
      </c>
      <c r="N90">
        <v>46.43</v>
      </c>
      <c r="O90">
        <v>14.54</v>
      </c>
    </row>
    <row r="91" spans="1:15" x14ac:dyDescent="0.3">
      <c r="A91" t="s">
        <v>1819</v>
      </c>
      <c r="B91" t="s">
        <v>1724</v>
      </c>
      <c r="C91" t="s">
        <v>196</v>
      </c>
      <c r="D91" t="s">
        <v>1781</v>
      </c>
      <c r="E91">
        <v>222</v>
      </c>
      <c r="F91" t="s">
        <v>1719</v>
      </c>
      <c r="G91" t="s">
        <v>14</v>
      </c>
      <c r="H91" t="s">
        <v>268</v>
      </c>
      <c r="I91">
        <v>9.0529999999999999E-2</v>
      </c>
      <c r="J91">
        <v>49.405589999999997</v>
      </c>
      <c r="K91" t="s">
        <v>563</v>
      </c>
      <c r="L91">
        <v>-17.829999999999998</v>
      </c>
      <c r="M91">
        <v>13.12</v>
      </c>
      <c r="N91">
        <v>45.36</v>
      </c>
      <c r="O91">
        <v>14.16</v>
      </c>
    </row>
    <row r="92" spans="1:15" x14ac:dyDescent="0.3">
      <c r="A92" t="s">
        <v>1820</v>
      </c>
      <c r="B92" t="s">
        <v>1724</v>
      </c>
      <c r="C92" t="s">
        <v>195</v>
      </c>
      <c r="D92" t="s">
        <v>1732</v>
      </c>
      <c r="E92">
        <v>56</v>
      </c>
      <c r="F92" t="s">
        <v>1720</v>
      </c>
      <c r="G92" t="s">
        <v>15</v>
      </c>
      <c r="H92" t="s">
        <v>590</v>
      </c>
      <c r="I92">
        <v>0.15340000000000001</v>
      </c>
      <c r="J92">
        <v>49.439100000000003</v>
      </c>
      <c r="K92" t="s">
        <v>594</v>
      </c>
      <c r="L92">
        <v>-18.72</v>
      </c>
      <c r="M92">
        <v>12.33</v>
      </c>
      <c r="N92">
        <v>44.1</v>
      </c>
      <c r="O92">
        <v>13.44</v>
      </c>
    </row>
    <row r="93" spans="1:15" x14ac:dyDescent="0.3">
      <c r="A93" t="s">
        <v>1821</v>
      </c>
      <c r="B93" t="s">
        <v>1724</v>
      </c>
      <c r="C93" t="s">
        <v>195</v>
      </c>
      <c r="D93" t="s">
        <v>1732</v>
      </c>
      <c r="E93">
        <v>58</v>
      </c>
      <c r="F93" t="s">
        <v>1720</v>
      </c>
      <c r="G93" t="s">
        <v>15</v>
      </c>
      <c r="H93" t="s">
        <v>590</v>
      </c>
      <c r="I93">
        <v>0.15340000000000001</v>
      </c>
      <c r="J93">
        <v>49.439100000000003</v>
      </c>
      <c r="K93" t="s">
        <v>595</v>
      </c>
      <c r="L93">
        <v>-19.54</v>
      </c>
      <c r="M93">
        <v>13.08</v>
      </c>
      <c r="N93">
        <v>45.21</v>
      </c>
      <c r="O93">
        <v>13.47</v>
      </c>
    </row>
    <row r="94" spans="1:15" x14ac:dyDescent="0.3">
      <c r="A94" t="s">
        <v>1822</v>
      </c>
      <c r="B94" t="s">
        <v>1724</v>
      </c>
      <c r="C94" t="s">
        <v>195</v>
      </c>
      <c r="D94" t="s">
        <v>1732</v>
      </c>
      <c r="E94">
        <v>49</v>
      </c>
      <c r="F94" t="s">
        <v>1720</v>
      </c>
      <c r="G94" t="s">
        <v>15</v>
      </c>
      <c r="H94" t="s">
        <v>590</v>
      </c>
      <c r="I94">
        <v>0.15340000000000001</v>
      </c>
      <c r="J94">
        <v>49.439100000000003</v>
      </c>
      <c r="K94" t="s">
        <v>596</v>
      </c>
      <c r="L94">
        <v>-18.809999999999999</v>
      </c>
      <c r="M94">
        <v>12.75</v>
      </c>
      <c r="N94">
        <v>43.96</v>
      </c>
      <c r="O94">
        <v>13.38</v>
      </c>
    </row>
    <row r="95" spans="1:15" x14ac:dyDescent="0.3">
      <c r="A95" t="s">
        <v>1823</v>
      </c>
      <c r="B95" t="s">
        <v>1724</v>
      </c>
      <c r="C95" t="s">
        <v>195</v>
      </c>
      <c r="D95" t="s">
        <v>1732</v>
      </c>
      <c r="E95">
        <v>56</v>
      </c>
      <c r="F95" t="s">
        <v>1720</v>
      </c>
      <c r="G95" t="s">
        <v>15</v>
      </c>
      <c r="H95" t="s">
        <v>590</v>
      </c>
      <c r="I95">
        <v>0.15340000000000001</v>
      </c>
      <c r="J95">
        <v>49.439100000000003</v>
      </c>
      <c r="K95" t="s">
        <v>597</v>
      </c>
      <c r="L95">
        <v>-17.43</v>
      </c>
      <c r="M95">
        <v>13.01</v>
      </c>
      <c r="N95">
        <v>45.07</v>
      </c>
      <c r="O95">
        <v>13.58</v>
      </c>
    </row>
    <row r="96" spans="1:15" x14ac:dyDescent="0.3">
      <c r="A96" t="s">
        <v>1824</v>
      </c>
      <c r="B96" t="s">
        <v>1724</v>
      </c>
      <c r="C96" t="s">
        <v>195</v>
      </c>
      <c r="D96" t="s">
        <v>1732</v>
      </c>
      <c r="E96">
        <v>52</v>
      </c>
      <c r="F96" t="s">
        <v>1720</v>
      </c>
      <c r="G96" t="s">
        <v>15</v>
      </c>
      <c r="H96" t="s">
        <v>590</v>
      </c>
      <c r="I96">
        <v>0.15340000000000001</v>
      </c>
      <c r="J96">
        <v>49.439100000000003</v>
      </c>
      <c r="K96" t="s">
        <v>598</v>
      </c>
      <c r="L96">
        <v>-18.77</v>
      </c>
      <c r="M96">
        <v>12.44</v>
      </c>
      <c r="N96">
        <v>45.08</v>
      </c>
      <c r="O96">
        <v>13.59</v>
      </c>
    </row>
    <row r="97" spans="1:15" x14ac:dyDescent="0.3">
      <c r="A97" t="s">
        <v>1825</v>
      </c>
      <c r="B97" t="s">
        <v>1724</v>
      </c>
      <c r="C97" t="s">
        <v>195</v>
      </c>
      <c r="D97" t="s">
        <v>1725</v>
      </c>
      <c r="E97">
        <v>78</v>
      </c>
      <c r="F97" t="s">
        <v>1720</v>
      </c>
      <c r="G97" t="s">
        <v>13</v>
      </c>
      <c r="H97" t="s">
        <v>576</v>
      </c>
      <c r="I97">
        <v>0.26315</v>
      </c>
      <c r="J97">
        <v>49.44073333</v>
      </c>
      <c r="K97" t="s">
        <v>577</v>
      </c>
      <c r="L97">
        <v>-19.02</v>
      </c>
      <c r="M97">
        <v>14.4</v>
      </c>
      <c r="N97">
        <v>45.62</v>
      </c>
      <c r="O97">
        <v>13.76</v>
      </c>
    </row>
    <row r="98" spans="1:15" x14ac:dyDescent="0.3">
      <c r="A98" t="s">
        <v>1826</v>
      </c>
      <c r="B98" t="s">
        <v>1724</v>
      </c>
      <c r="C98" t="s">
        <v>195</v>
      </c>
      <c r="D98" t="s">
        <v>1725</v>
      </c>
      <c r="E98">
        <v>68</v>
      </c>
      <c r="F98" t="s">
        <v>1720</v>
      </c>
      <c r="G98" t="s">
        <v>13</v>
      </c>
      <c r="H98" t="s">
        <v>576</v>
      </c>
      <c r="I98">
        <v>0.26315</v>
      </c>
      <c r="J98">
        <v>49.44073333</v>
      </c>
      <c r="K98" t="s">
        <v>578</v>
      </c>
      <c r="L98">
        <v>-19.07</v>
      </c>
      <c r="M98">
        <v>14.58</v>
      </c>
      <c r="N98">
        <v>45</v>
      </c>
      <c r="O98">
        <v>13.72</v>
      </c>
    </row>
    <row r="99" spans="1:15" x14ac:dyDescent="0.3">
      <c r="A99" t="s">
        <v>1827</v>
      </c>
      <c r="B99" t="s">
        <v>1724</v>
      </c>
      <c r="C99" t="s">
        <v>195</v>
      </c>
      <c r="D99" t="s">
        <v>1725</v>
      </c>
      <c r="E99">
        <v>60</v>
      </c>
      <c r="F99" t="s">
        <v>1720</v>
      </c>
      <c r="G99" t="s">
        <v>13</v>
      </c>
      <c r="H99" t="s">
        <v>576</v>
      </c>
      <c r="I99">
        <v>0.26315</v>
      </c>
      <c r="J99">
        <v>49.44073333</v>
      </c>
      <c r="K99" t="s">
        <v>579</v>
      </c>
      <c r="L99">
        <v>-18.559999999999999</v>
      </c>
      <c r="M99">
        <v>14.32</v>
      </c>
      <c r="N99">
        <v>44.79</v>
      </c>
      <c r="O99">
        <v>13.38</v>
      </c>
    </row>
    <row r="100" spans="1:15" x14ac:dyDescent="0.3">
      <c r="A100" t="s">
        <v>1828</v>
      </c>
      <c r="B100" t="s">
        <v>1724</v>
      </c>
      <c r="C100" t="s">
        <v>195</v>
      </c>
      <c r="D100" t="s">
        <v>1725</v>
      </c>
      <c r="E100">
        <v>65</v>
      </c>
      <c r="F100" t="s">
        <v>1720</v>
      </c>
      <c r="G100" t="s">
        <v>13</v>
      </c>
      <c r="H100" t="s">
        <v>576</v>
      </c>
      <c r="I100">
        <v>0.26315</v>
      </c>
      <c r="J100">
        <v>49.44073333</v>
      </c>
      <c r="K100" t="s">
        <v>580</v>
      </c>
      <c r="L100">
        <v>-18.54</v>
      </c>
      <c r="M100">
        <v>14.36</v>
      </c>
      <c r="N100">
        <v>44.89</v>
      </c>
      <c r="O100">
        <v>13.55</v>
      </c>
    </row>
    <row r="101" spans="1:15" x14ac:dyDescent="0.3">
      <c r="A101" t="s">
        <v>1829</v>
      </c>
      <c r="B101" t="s">
        <v>1724</v>
      </c>
      <c r="C101" t="s">
        <v>195</v>
      </c>
      <c r="D101" t="s">
        <v>1725</v>
      </c>
      <c r="E101">
        <v>57</v>
      </c>
      <c r="F101" t="s">
        <v>1720</v>
      </c>
      <c r="G101" t="s">
        <v>13</v>
      </c>
      <c r="H101" t="s">
        <v>576</v>
      </c>
      <c r="I101">
        <v>0.26315</v>
      </c>
      <c r="J101">
        <v>49.44073333</v>
      </c>
      <c r="K101" t="s">
        <v>581</v>
      </c>
      <c r="L101">
        <v>-18.73</v>
      </c>
      <c r="M101">
        <v>14.03</v>
      </c>
      <c r="N101">
        <v>44.26</v>
      </c>
      <c r="O101">
        <v>13.46</v>
      </c>
    </row>
    <row r="102" spans="1:15" x14ac:dyDescent="0.3">
      <c r="A102" t="s">
        <v>1830</v>
      </c>
      <c r="B102" t="s">
        <v>1724</v>
      </c>
      <c r="C102" t="s">
        <v>195</v>
      </c>
      <c r="D102" t="s">
        <v>1732</v>
      </c>
      <c r="E102">
        <v>42</v>
      </c>
      <c r="F102" t="s">
        <v>1720</v>
      </c>
      <c r="G102" t="s">
        <v>13</v>
      </c>
      <c r="H102" t="s">
        <v>585</v>
      </c>
      <c r="I102">
        <v>0.15024999999999999</v>
      </c>
      <c r="J102">
        <v>49.442749999999997</v>
      </c>
      <c r="K102" t="s">
        <v>586</v>
      </c>
      <c r="L102">
        <v>-18.75</v>
      </c>
      <c r="M102">
        <v>12.5</v>
      </c>
      <c r="N102">
        <v>43.97</v>
      </c>
      <c r="O102">
        <v>13.22</v>
      </c>
    </row>
    <row r="103" spans="1:15" x14ac:dyDescent="0.3">
      <c r="A103" t="s">
        <v>1831</v>
      </c>
      <c r="B103" t="s">
        <v>1724</v>
      </c>
      <c r="C103" t="s">
        <v>195</v>
      </c>
      <c r="D103" t="s">
        <v>1732</v>
      </c>
      <c r="E103">
        <v>44</v>
      </c>
      <c r="F103" t="s">
        <v>1720</v>
      </c>
      <c r="G103" t="s">
        <v>13</v>
      </c>
      <c r="H103" t="s">
        <v>585</v>
      </c>
      <c r="I103">
        <v>0.15024999999999999</v>
      </c>
      <c r="J103">
        <v>49.442749999999997</v>
      </c>
      <c r="K103" t="s">
        <v>587</v>
      </c>
      <c r="L103">
        <v>-18</v>
      </c>
      <c r="M103">
        <v>12.48</v>
      </c>
      <c r="N103">
        <v>43.13</v>
      </c>
      <c r="O103">
        <v>13</v>
      </c>
    </row>
    <row r="104" spans="1:15" x14ac:dyDescent="0.3">
      <c r="A104" t="s">
        <v>1832</v>
      </c>
      <c r="B104" t="s">
        <v>1724</v>
      </c>
      <c r="C104" t="s">
        <v>195</v>
      </c>
      <c r="D104" t="s">
        <v>1725</v>
      </c>
      <c r="E104">
        <v>42</v>
      </c>
      <c r="F104" t="s">
        <v>1720</v>
      </c>
      <c r="G104" t="s">
        <v>13</v>
      </c>
      <c r="H104" t="s">
        <v>630</v>
      </c>
      <c r="I104">
        <v>0.24790000000000001</v>
      </c>
      <c r="J104">
        <v>49.438933329999998</v>
      </c>
      <c r="K104" t="s">
        <v>631</v>
      </c>
      <c r="L104">
        <v>-19.64</v>
      </c>
      <c r="M104">
        <v>11.88</v>
      </c>
      <c r="N104">
        <v>42.04</v>
      </c>
      <c r="O104">
        <v>12.59</v>
      </c>
    </row>
    <row r="105" spans="1:15" x14ac:dyDescent="0.3">
      <c r="A105" t="s">
        <v>1833</v>
      </c>
      <c r="B105" t="s">
        <v>1724</v>
      </c>
      <c r="C105" t="s">
        <v>195</v>
      </c>
      <c r="D105" t="s">
        <v>1740</v>
      </c>
      <c r="E105">
        <v>42</v>
      </c>
      <c r="F105" t="s">
        <v>1720</v>
      </c>
      <c r="G105" t="s">
        <v>14</v>
      </c>
      <c r="H105" t="s">
        <v>539</v>
      </c>
      <c r="I105">
        <v>0.170133333</v>
      </c>
      <c r="J105">
        <v>49.416483329999998</v>
      </c>
      <c r="K105" t="s">
        <v>633</v>
      </c>
      <c r="L105">
        <v>-18.2</v>
      </c>
      <c r="M105">
        <v>11.77</v>
      </c>
      <c r="N105">
        <v>42.69</v>
      </c>
      <c r="O105">
        <v>12.75</v>
      </c>
    </row>
    <row r="106" spans="1:15" x14ac:dyDescent="0.3">
      <c r="A106" t="s">
        <v>1834</v>
      </c>
      <c r="B106" t="s">
        <v>1724</v>
      </c>
      <c r="C106" t="s">
        <v>195</v>
      </c>
      <c r="D106" t="s">
        <v>1740</v>
      </c>
      <c r="E106">
        <v>36</v>
      </c>
      <c r="F106" t="s">
        <v>1720</v>
      </c>
      <c r="G106" t="s">
        <v>14</v>
      </c>
      <c r="H106" t="s">
        <v>539</v>
      </c>
      <c r="I106">
        <v>0.170133333</v>
      </c>
      <c r="J106">
        <v>49.416483329999998</v>
      </c>
      <c r="K106" t="s">
        <v>634</v>
      </c>
      <c r="L106">
        <v>-16.89</v>
      </c>
      <c r="M106">
        <v>12.43</v>
      </c>
      <c r="N106">
        <v>43.48</v>
      </c>
      <c r="O106">
        <v>13.1</v>
      </c>
    </row>
    <row r="107" spans="1:15" x14ac:dyDescent="0.3">
      <c r="A107" t="s">
        <v>1835</v>
      </c>
      <c r="B107" t="s">
        <v>1724</v>
      </c>
      <c r="C107" t="s">
        <v>195</v>
      </c>
      <c r="D107" t="s">
        <v>1740</v>
      </c>
      <c r="E107">
        <v>51</v>
      </c>
      <c r="F107" t="s">
        <v>1720</v>
      </c>
      <c r="G107" t="s">
        <v>14</v>
      </c>
      <c r="H107" t="s">
        <v>561</v>
      </c>
      <c r="I107">
        <v>8.9516666999999994E-2</v>
      </c>
      <c r="J107">
        <v>49.4161</v>
      </c>
      <c r="K107" t="s">
        <v>636</v>
      </c>
      <c r="L107">
        <v>-18.11</v>
      </c>
      <c r="M107">
        <v>11.04</v>
      </c>
      <c r="N107">
        <v>43.29</v>
      </c>
      <c r="O107">
        <v>13.15</v>
      </c>
    </row>
    <row r="108" spans="1:15" x14ac:dyDescent="0.3">
      <c r="A108" t="s">
        <v>1836</v>
      </c>
      <c r="B108" t="s">
        <v>1724</v>
      </c>
      <c r="C108" t="s">
        <v>195</v>
      </c>
      <c r="D108" t="s">
        <v>1740</v>
      </c>
      <c r="E108">
        <v>57</v>
      </c>
      <c r="F108" t="s">
        <v>1720</v>
      </c>
      <c r="G108" t="s">
        <v>14</v>
      </c>
      <c r="H108" t="s">
        <v>561</v>
      </c>
      <c r="I108">
        <v>8.9516666999999994E-2</v>
      </c>
      <c r="J108">
        <v>49.4161</v>
      </c>
      <c r="K108" t="s">
        <v>637</v>
      </c>
      <c r="L108">
        <v>-18.04</v>
      </c>
      <c r="M108">
        <v>10.63</v>
      </c>
      <c r="N108">
        <v>43.79</v>
      </c>
      <c r="O108">
        <v>13.43</v>
      </c>
    </row>
    <row r="109" spans="1:15" x14ac:dyDescent="0.3">
      <c r="A109" t="s">
        <v>1837</v>
      </c>
      <c r="B109" t="s">
        <v>1724</v>
      </c>
      <c r="C109" t="s">
        <v>195</v>
      </c>
      <c r="D109" t="s">
        <v>1740</v>
      </c>
      <c r="E109">
        <v>45</v>
      </c>
      <c r="F109" t="s">
        <v>1720</v>
      </c>
      <c r="G109" t="s">
        <v>14</v>
      </c>
      <c r="H109" t="s">
        <v>561</v>
      </c>
      <c r="I109">
        <v>8.9516666999999994E-2</v>
      </c>
      <c r="J109">
        <v>49.4161</v>
      </c>
      <c r="K109" t="s">
        <v>638</v>
      </c>
      <c r="L109">
        <v>-17.489999999999998</v>
      </c>
      <c r="M109">
        <v>10.51</v>
      </c>
      <c r="N109">
        <v>43.01</v>
      </c>
      <c r="O109">
        <v>13.09</v>
      </c>
    </row>
    <row r="110" spans="1:15" x14ac:dyDescent="0.3">
      <c r="A110" t="s">
        <v>1838</v>
      </c>
      <c r="B110" t="s">
        <v>1724</v>
      </c>
      <c r="C110" t="s">
        <v>195</v>
      </c>
      <c r="D110" t="s">
        <v>1740</v>
      </c>
      <c r="E110">
        <v>58</v>
      </c>
      <c r="F110" t="s">
        <v>1720</v>
      </c>
      <c r="G110" t="s">
        <v>14</v>
      </c>
      <c r="H110" t="s">
        <v>268</v>
      </c>
      <c r="I110">
        <v>9.2183333000000006E-2</v>
      </c>
      <c r="J110">
        <v>49.405533329999997</v>
      </c>
      <c r="K110" t="s">
        <v>643</v>
      </c>
      <c r="L110">
        <v>-18.170000000000002</v>
      </c>
      <c r="M110">
        <v>11.58</v>
      </c>
      <c r="N110">
        <v>45.03</v>
      </c>
      <c r="O110">
        <v>13.49</v>
      </c>
    </row>
    <row r="111" spans="1:15" x14ac:dyDescent="0.3">
      <c r="A111" t="s">
        <v>1839</v>
      </c>
      <c r="B111" t="s">
        <v>1724</v>
      </c>
      <c r="C111" t="s">
        <v>196</v>
      </c>
      <c r="D111" t="s">
        <v>1776</v>
      </c>
      <c r="E111">
        <v>159</v>
      </c>
      <c r="F111" t="s">
        <v>1720</v>
      </c>
      <c r="G111" t="s">
        <v>15</v>
      </c>
      <c r="H111" t="s">
        <v>283</v>
      </c>
      <c r="I111">
        <v>0.31809999999999999</v>
      </c>
      <c r="J111">
        <v>49.436199999999999</v>
      </c>
      <c r="K111" t="s">
        <v>570</v>
      </c>
      <c r="L111">
        <v>-20.2</v>
      </c>
      <c r="M111">
        <v>14.98</v>
      </c>
      <c r="N111">
        <v>44.68</v>
      </c>
      <c r="O111">
        <v>13.84</v>
      </c>
    </row>
    <row r="112" spans="1:15" x14ac:dyDescent="0.3">
      <c r="A112" t="s">
        <v>1840</v>
      </c>
      <c r="B112" t="s">
        <v>1724</v>
      </c>
      <c r="C112" t="s">
        <v>196</v>
      </c>
      <c r="D112" t="s">
        <v>1778</v>
      </c>
      <c r="E112">
        <v>173</v>
      </c>
      <c r="F112" t="s">
        <v>1720</v>
      </c>
      <c r="G112" t="s">
        <v>15</v>
      </c>
      <c r="H112" t="s">
        <v>282</v>
      </c>
      <c r="I112">
        <v>0.15384999999999999</v>
      </c>
      <c r="J112">
        <v>49.439100000000003</v>
      </c>
      <c r="K112" t="s">
        <v>571</v>
      </c>
      <c r="L112">
        <v>-19.53</v>
      </c>
      <c r="M112">
        <v>14.8</v>
      </c>
      <c r="N112">
        <v>45.4</v>
      </c>
      <c r="O112">
        <v>14.06</v>
      </c>
    </row>
    <row r="113" spans="1:15" x14ac:dyDescent="0.3">
      <c r="A113" t="s">
        <v>1841</v>
      </c>
      <c r="B113" t="s">
        <v>1724</v>
      </c>
      <c r="C113" t="s">
        <v>196</v>
      </c>
      <c r="D113" t="s">
        <v>1778</v>
      </c>
      <c r="E113">
        <v>165</v>
      </c>
      <c r="F113" t="s">
        <v>1720</v>
      </c>
      <c r="G113" t="s">
        <v>15</v>
      </c>
      <c r="H113" t="s">
        <v>285</v>
      </c>
      <c r="I113">
        <v>0.12939999999999999</v>
      </c>
      <c r="J113">
        <v>49.436366669999998</v>
      </c>
      <c r="K113" t="s">
        <v>572</v>
      </c>
      <c r="L113">
        <v>-18.829999999999998</v>
      </c>
      <c r="M113">
        <v>13.81</v>
      </c>
      <c r="N113">
        <v>45.11</v>
      </c>
      <c r="O113">
        <v>13.7</v>
      </c>
    </row>
    <row r="114" spans="1:15" x14ac:dyDescent="0.3">
      <c r="A114" t="s">
        <v>1842</v>
      </c>
      <c r="B114" t="s">
        <v>1724</v>
      </c>
      <c r="C114" t="s">
        <v>196</v>
      </c>
      <c r="D114" t="s">
        <v>1778</v>
      </c>
      <c r="E114">
        <v>156</v>
      </c>
      <c r="F114" t="s">
        <v>1720</v>
      </c>
      <c r="G114" t="s">
        <v>15</v>
      </c>
      <c r="H114" t="s">
        <v>285</v>
      </c>
      <c r="I114">
        <v>0.12939999999999999</v>
      </c>
      <c r="J114">
        <v>49.436366669999998</v>
      </c>
      <c r="K114" t="s">
        <v>573</v>
      </c>
      <c r="L114">
        <v>-19.7</v>
      </c>
      <c r="M114">
        <v>14.33</v>
      </c>
      <c r="N114">
        <v>45.4</v>
      </c>
      <c r="O114">
        <v>13.73</v>
      </c>
    </row>
    <row r="115" spans="1:15" x14ac:dyDescent="0.3">
      <c r="A115" t="s">
        <v>1843</v>
      </c>
      <c r="B115" t="s">
        <v>1724</v>
      </c>
      <c r="C115" t="s">
        <v>196</v>
      </c>
      <c r="D115" t="s">
        <v>1778</v>
      </c>
      <c r="E115">
        <v>133</v>
      </c>
      <c r="F115" t="s">
        <v>1720</v>
      </c>
      <c r="G115" t="s">
        <v>15</v>
      </c>
      <c r="H115" t="s">
        <v>285</v>
      </c>
      <c r="I115">
        <v>0.12939999999999999</v>
      </c>
      <c r="J115">
        <v>49.436366669999998</v>
      </c>
      <c r="K115" t="s">
        <v>574</v>
      </c>
      <c r="L115">
        <v>-18.829999999999998</v>
      </c>
      <c r="M115">
        <v>14.81</v>
      </c>
      <c r="N115">
        <v>43.65</v>
      </c>
      <c r="O115">
        <v>13.32</v>
      </c>
    </row>
    <row r="116" spans="1:15" x14ac:dyDescent="0.3">
      <c r="A116" t="s">
        <v>1844</v>
      </c>
      <c r="B116" t="s">
        <v>1724</v>
      </c>
      <c r="C116" t="s">
        <v>196</v>
      </c>
      <c r="D116" t="s">
        <v>1778</v>
      </c>
      <c r="E116">
        <v>187</v>
      </c>
      <c r="F116" t="s">
        <v>1720</v>
      </c>
      <c r="G116" t="s">
        <v>15</v>
      </c>
      <c r="H116" t="s">
        <v>285</v>
      </c>
      <c r="I116">
        <v>0.12939999999999999</v>
      </c>
      <c r="J116">
        <v>49.436366669999998</v>
      </c>
      <c r="K116" t="s">
        <v>575</v>
      </c>
      <c r="L116">
        <v>-19.38</v>
      </c>
      <c r="M116">
        <v>14.52</v>
      </c>
      <c r="N116">
        <v>43.8</v>
      </c>
      <c r="O116">
        <v>13.37</v>
      </c>
    </row>
    <row r="117" spans="1:15" x14ac:dyDescent="0.3">
      <c r="A117" t="s">
        <v>1845</v>
      </c>
      <c r="B117" t="s">
        <v>1724</v>
      </c>
      <c r="C117" t="s">
        <v>196</v>
      </c>
      <c r="D117" t="s">
        <v>1778</v>
      </c>
      <c r="E117">
        <v>183</v>
      </c>
      <c r="F117" t="s">
        <v>1720</v>
      </c>
      <c r="G117" t="s">
        <v>15</v>
      </c>
      <c r="H117" t="s">
        <v>588</v>
      </c>
      <c r="I117">
        <v>0.18986666699999999</v>
      </c>
      <c r="J117">
        <v>49.435983329999999</v>
      </c>
      <c r="K117" t="s">
        <v>589</v>
      </c>
      <c r="L117">
        <v>-17.07</v>
      </c>
      <c r="M117">
        <v>14.81</v>
      </c>
      <c r="N117">
        <v>44.46</v>
      </c>
      <c r="O117">
        <v>13.87</v>
      </c>
    </row>
    <row r="118" spans="1:15" x14ac:dyDescent="0.3">
      <c r="A118" t="s">
        <v>1846</v>
      </c>
      <c r="B118" t="s">
        <v>1724</v>
      </c>
      <c r="C118" t="s">
        <v>196</v>
      </c>
      <c r="D118" t="s">
        <v>1778</v>
      </c>
      <c r="E118">
        <v>156</v>
      </c>
      <c r="F118" t="s">
        <v>1720</v>
      </c>
      <c r="G118" t="s">
        <v>15</v>
      </c>
      <c r="H118" t="s">
        <v>590</v>
      </c>
      <c r="I118">
        <v>0.15340000000000001</v>
      </c>
      <c r="J118">
        <v>49.439100000000003</v>
      </c>
      <c r="K118" t="s">
        <v>591</v>
      </c>
      <c r="L118">
        <v>-19.66</v>
      </c>
      <c r="M118">
        <v>15.11</v>
      </c>
      <c r="N118">
        <v>45.42</v>
      </c>
      <c r="O118">
        <v>13.92</v>
      </c>
    </row>
    <row r="119" spans="1:15" x14ac:dyDescent="0.3">
      <c r="A119" t="s">
        <v>1847</v>
      </c>
      <c r="B119" t="s">
        <v>1724</v>
      </c>
      <c r="C119" t="s">
        <v>196</v>
      </c>
      <c r="D119" t="s">
        <v>1778</v>
      </c>
      <c r="E119">
        <v>186</v>
      </c>
      <c r="F119" t="s">
        <v>1720</v>
      </c>
      <c r="G119" t="s">
        <v>15</v>
      </c>
      <c r="H119" t="s">
        <v>590</v>
      </c>
      <c r="I119">
        <v>0.15340000000000001</v>
      </c>
      <c r="J119">
        <v>49.439100000000003</v>
      </c>
      <c r="K119" t="s">
        <v>592</v>
      </c>
      <c r="L119">
        <v>-18.34</v>
      </c>
      <c r="M119">
        <v>15.55</v>
      </c>
      <c r="N119">
        <v>45.45</v>
      </c>
      <c r="O119">
        <v>13.52</v>
      </c>
    </row>
    <row r="120" spans="1:15" x14ac:dyDescent="0.3">
      <c r="A120" t="s">
        <v>1848</v>
      </c>
      <c r="B120" t="s">
        <v>1724</v>
      </c>
      <c r="C120" t="s">
        <v>196</v>
      </c>
      <c r="D120" t="s">
        <v>1778</v>
      </c>
      <c r="E120">
        <v>174</v>
      </c>
      <c r="F120" t="s">
        <v>1720</v>
      </c>
      <c r="G120" t="s">
        <v>15</v>
      </c>
      <c r="H120" t="s">
        <v>590</v>
      </c>
      <c r="I120">
        <v>0.15340000000000001</v>
      </c>
      <c r="J120">
        <v>49.439100000000003</v>
      </c>
      <c r="K120" t="s">
        <v>593</v>
      </c>
      <c r="L120">
        <v>-18.75</v>
      </c>
      <c r="M120">
        <v>14.09</v>
      </c>
      <c r="N120">
        <v>42.89</v>
      </c>
      <c r="O120">
        <v>13.07</v>
      </c>
    </row>
    <row r="121" spans="1:15" x14ac:dyDescent="0.3">
      <c r="A121" t="s">
        <v>1824</v>
      </c>
      <c r="B121" t="s">
        <v>1724</v>
      </c>
      <c r="C121" t="s">
        <v>196</v>
      </c>
      <c r="D121" t="s">
        <v>1778</v>
      </c>
      <c r="E121">
        <v>52</v>
      </c>
      <c r="F121" t="s">
        <v>1720</v>
      </c>
      <c r="G121" t="s">
        <v>15</v>
      </c>
      <c r="H121" t="s">
        <v>590</v>
      </c>
      <c r="I121">
        <v>0.15340000000000001</v>
      </c>
      <c r="J121">
        <v>49.439100000000003</v>
      </c>
      <c r="K121" t="s">
        <v>598</v>
      </c>
      <c r="L121">
        <v>-18.77</v>
      </c>
      <c r="M121">
        <v>12.44</v>
      </c>
      <c r="N121">
        <v>45.08</v>
      </c>
      <c r="O121">
        <v>13.59</v>
      </c>
    </row>
    <row r="122" spans="1:15" x14ac:dyDescent="0.3">
      <c r="A122" t="s">
        <v>1849</v>
      </c>
      <c r="B122" t="s">
        <v>1724</v>
      </c>
      <c r="C122" t="s">
        <v>196</v>
      </c>
      <c r="D122" t="s">
        <v>1778</v>
      </c>
      <c r="E122">
        <v>173</v>
      </c>
      <c r="F122" t="s">
        <v>1720</v>
      </c>
      <c r="G122" t="s">
        <v>15</v>
      </c>
      <c r="H122" t="s">
        <v>599</v>
      </c>
      <c r="I122">
        <v>0.11686666699999999</v>
      </c>
      <c r="J122">
        <v>49.439966669999997</v>
      </c>
      <c r="K122" t="s">
        <v>600</v>
      </c>
      <c r="L122">
        <v>-18.420000000000002</v>
      </c>
      <c r="M122">
        <v>13.3</v>
      </c>
      <c r="N122">
        <v>46.19</v>
      </c>
      <c r="O122">
        <v>14.43</v>
      </c>
    </row>
    <row r="123" spans="1:15" x14ac:dyDescent="0.3">
      <c r="A123" t="s">
        <v>1850</v>
      </c>
      <c r="B123" t="s">
        <v>1724</v>
      </c>
      <c r="C123" t="s">
        <v>196</v>
      </c>
      <c r="D123" t="s">
        <v>1778</v>
      </c>
      <c r="E123">
        <v>143</v>
      </c>
      <c r="F123" t="s">
        <v>1720</v>
      </c>
      <c r="G123" t="s">
        <v>15</v>
      </c>
      <c r="H123" t="s">
        <v>599</v>
      </c>
      <c r="I123">
        <v>0.11686666699999999</v>
      </c>
      <c r="J123">
        <v>49.439966669999997</v>
      </c>
      <c r="K123" t="s">
        <v>601</v>
      </c>
      <c r="L123">
        <v>-19.559999999999999</v>
      </c>
      <c r="M123">
        <v>14.72</v>
      </c>
      <c r="N123">
        <v>46.89</v>
      </c>
      <c r="O123">
        <v>14.52</v>
      </c>
    </row>
    <row r="124" spans="1:15" x14ac:dyDescent="0.3">
      <c r="A124" t="s">
        <v>1851</v>
      </c>
      <c r="B124" t="s">
        <v>1724</v>
      </c>
      <c r="C124" t="s">
        <v>196</v>
      </c>
      <c r="D124" t="s">
        <v>1781</v>
      </c>
      <c r="E124">
        <v>155</v>
      </c>
      <c r="F124" t="s">
        <v>1720</v>
      </c>
      <c r="G124" t="s">
        <v>3</v>
      </c>
      <c r="H124" t="s">
        <v>565</v>
      </c>
      <c r="I124">
        <v>6.4883333000000001E-2</v>
      </c>
      <c r="J124">
        <v>49.456400000000002</v>
      </c>
      <c r="K124" t="s">
        <v>566</v>
      </c>
      <c r="L124">
        <v>-19.149999999999999</v>
      </c>
      <c r="M124">
        <v>15.13</v>
      </c>
      <c r="N124">
        <v>45.95</v>
      </c>
      <c r="O124">
        <v>14.35</v>
      </c>
    </row>
    <row r="125" spans="1:15" x14ac:dyDescent="0.3">
      <c r="A125" t="s">
        <v>1852</v>
      </c>
      <c r="B125" t="s">
        <v>1724</v>
      </c>
      <c r="C125" t="s">
        <v>196</v>
      </c>
      <c r="D125" t="s">
        <v>1781</v>
      </c>
      <c r="E125">
        <v>172</v>
      </c>
      <c r="F125" t="s">
        <v>1720</v>
      </c>
      <c r="G125" t="s">
        <v>3</v>
      </c>
      <c r="H125" t="s">
        <v>265</v>
      </c>
      <c r="I125">
        <v>5.2299999999999999E-2</v>
      </c>
      <c r="J125">
        <v>49.42851667</v>
      </c>
      <c r="K125" t="s">
        <v>567</v>
      </c>
      <c r="L125">
        <v>-17.350000000000001</v>
      </c>
      <c r="M125">
        <v>16.440000000000001</v>
      </c>
      <c r="N125">
        <v>47.34</v>
      </c>
      <c r="O125">
        <v>14.76</v>
      </c>
    </row>
    <row r="126" spans="1:15" x14ac:dyDescent="0.3">
      <c r="A126" t="s">
        <v>1853</v>
      </c>
      <c r="B126" t="s">
        <v>1724</v>
      </c>
      <c r="C126" t="s">
        <v>196</v>
      </c>
      <c r="D126" t="s">
        <v>1781</v>
      </c>
      <c r="E126">
        <v>148</v>
      </c>
      <c r="F126" t="s">
        <v>1720</v>
      </c>
      <c r="G126" t="s">
        <v>3</v>
      </c>
      <c r="H126" t="s">
        <v>471</v>
      </c>
      <c r="I126">
        <v>5.9283333000000001E-2</v>
      </c>
      <c r="J126">
        <v>49.414549999999998</v>
      </c>
      <c r="K126" t="s">
        <v>568</v>
      </c>
      <c r="L126">
        <v>-17.809999999999999</v>
      </c>
      <c r="M126">
        <v>13.4</v>
      </c>
      <c r="N126">
        <v>46.64</v>
      </c>
      <c r="O126">
        <v>14.48</v>
      </c>
    </row>
    <row r="127" spans="1:15" x14ac:dyDescent="0.3">
      <c r="A127" t="s">
        <v>1854</v>
      </c>
      <c r="B127" t="s">
        <v>1724</v>
      </c>
      <c r="C127" t="s">
        <v>196</v>
      </c>
      <c r="D127" t="s">
        <v>1781</v>
      </c>
      <c r="E127">
        <v>125</v>
      </c>
      <c r="F127" t="s">
        <v>1720</v>
      </c>
      <c r="G127" t="s">
        <v>3</v>
      </c>
      <c r="H127" t="s">
        <v>471</v>
      </c>
      <c r="I127">
        <v>5.9283333000000001E-2</v>
      </c>
      <c r="J127">
        <v>49.414549999999998</v>
      </c>
      <c r="K127" t="s">
        <v>569</v>
      </c>
      <c r="L127">
        <v>-18.649999999999999</v>
      </c>
      <c r="M127">
        <v>13.54</v>
      </c>
      <c r="N127">
        <v>46.73</v>
      </c>
      <c r="O127">
        <v>14.41</v>
      </c>
    </row>
    <row r="128" spans="1:15" x14ac:dyDescent="0.3">
      <c r="A128" t="s">
        <v>1855</v>
      </c>
      <c r="B128" t="s">
        <v>1724</v>
      </c>
      <c r="C128" t="s">
        <v>196</v>
      </c>
      <c r="D128" t="s">
        <v>1781</v>
      </c>
      <c r="E128">
        <v>170</v>
      </c>
      <c r="F128" t="s">
        <v>1720</v>
      </c>
      <c r="G128" t="s">
        <v>3</v>
      </c>
      <c r="H128" t="s">
        <v>505</v>
      </c>
      <c r="I128">
        <v>-1.325E-2</v>
      </c>
      <c r="J128">
        <v>49.4848</v>
      </c>
      <c r="K128" t="s">
        <v>602</v>
      </c>
      <c r="L128">
        <v>-17.29</v>
      </c>
      <c r="M128">
        <v>12.59</v>
      </c>
      <c r="N128">
        <v>45.86</v>
      </c>
      <c r="O128">
        <v>14.29</v>
      </c>
    </row>
    <row r="129" spans="1:15" x14ac:dyDescent="0.3">
      <c r="A129" t="s">
        <v>1856</v>
      </c>
      <c r="B129" t="s">
        <v>1724</v>
      </c>
      <c r="C129" t="s">
        <v>196</v>
      </c>
      <c r="D129" t="s">
        <v>1781</v>
      </c>
      <c r="E129">
        <v>153</v>
      </c>
      <c r="F129" t="s">
        <v>1720</v>
      </c>
      <c r="G129" t="s">
        <v>3</v>
      </c>
      <c r="H129" t="s">
        <v>505</v>
      </c>
      <c r="I129">
        <v>-1.325E-2</v>
      </c>
      <c r="J129">
        <v>49.4848</v>
      </c>
      <c r="K129" t="s">
        <v>603</v>
      </c>
      <c r="L129">
        <v>-15.63</v>
      </c>
      <c r="M129">
        <v>13.22</v>
      </c>
      <c r="N129">
        <v>48.49</v>
      </c>
      <c r="O129">
        <v>15.09</v>
      </c>
    </row>
    <row r="130" spans="1:15" x14ac:dyDescent="0.3">
      <c r="A130" t="s">
        <v>1857</v>
      </c>
      <c r="B130" t="s">
        <v>1724</v>
      </c>
      <c r="C130" t="s">
        <v>196</v>
      </c>
      <c r="D130" t="s">
        <v>1781</v>
      </c>
      <c r="E130">
        <v>150</v>
      </c>
      <c r="F130" t="s">
        <v>1720</v>
      </c>
      <c r="G130" t="s">
        <v>3</v>
      </c>
      <c r="H130" t="s">
        <v>604</v>
      </c>
      <c r="I130">
        <v>-4.8166670000000002E-3</v>
      </c>
      <c r="J130">
        <v>49.436549999999997</v>
      </c>
      <c r="K130" t="s">
        <v>605</v>
      </c>
      <c r="L130">
        <v>-16.86</v>
      </c>
      <c r="M130">
        <v>12.49</v>
      </c>
      <c r="N130">
        <v>45.61</v>
      </c>
      <c r="O130">
        <v>13.99</v>
      </c>
    </row>
    <row r="131" spans="1:15" x14ac:dyDescent="0.3">
      <c r="A131" t="s">
        <v>1858</v>
      </c>
      <c r="B131" t="s">
        <v>1724</v>
      </c>
      <c r="C131" t="s">
        <v>196</v>
      </c>
      <c r="D131" t="s">
        <v>1781</v>
      </c>
      <c r="E131">
        <v>152</v>
      </c>
      <c r="F131" t="s">
        <v>1720</v>
      </c>
      <c r="G131" t="s">
        <v>3</v>
      </c>
      <c r="H131" t="s">
        <v>604</v>
      </c>
      <c r="I131">
        <v>-4.8166670000000002E-3</v>
      </c>
      <c r="J131">
        <v>49.436549999999997</v>
      </c>
      <c r="K131" t="s">
        <v>606</v>
      </c>
      <c r="L131">
        <v>-17.100000000000001</v>
      </c>
      <c r="M131">
        <v>13.07</v>
      </c>
      <c r="N131">
        <v>45.7</v>
      </c>
      <c r="O131">
        <v>13.79</v>
      </c>
    </row>
    <row r="132" spans="1:15" x14ac:dyDescent="0.3">
      <c r="A132" t="s">
        <v>1859</v>
      </c>
      <c r="B132" t="s">
        <v>1724</v>
      </c>
      <c r="C132" t="s">
        <v>196</v>
      </c>
      <c r="D132" t="s">
        <v>1781</v>
      </c>
      <c r="E132">
        <v>153</v>
      </c>
      <c r="F132" t="s">
        <v>1720</v>
      </c>
      <c r="G132" t="s">
        <v>3</v>
      </c>
      <c r="H132" t="s">
        <v>604</v>
      </c>
      <c r="I132">
        <v>-4.8166670000000002E-3</v>
      </c>
      <c r="J132">
        <v>49.436549999999997</v>
      </c>
      <c r="K132" t="s">
        <v>607</v>
      </c>
      <c r="L132">
        <v>-17.3</v>
      </c>
      <c r="M132">
        <v>13.23</v>
      </c>
      <c r="N132">
        <v>45.28</v>
      </c>
      <c r="O132">
        <v>13.85</v>
      </c>
    </row>
    <row r="133" spans="1:15" x14ac:dyDescent="0.3">
      <c r="A133" t="s">
        <v>1860</v>
      </c>
      <c r="B133" t="s">
        <v>1724</v>
      </c>
      <c r="C133" t="s">
        <v>196</v>
      </c>
      <c r="D133" t="s">
        <v>1781</v>
      </c>
      <c r="E133">
        <v>138</v>
      </c>
      <c r="F133" t="s">
        <v>1720</v>
      </c>
      <c r="G133" t="s">
        <v>3</v>
      </c>
      <c r="H133" t="s">
        <v>604</v>
      </c>
      <c r="I133">
        <v>-4.8166670000000002E-3</v>
      </c>
      <c r="J133">
        <v>49.436549999999997</v>
      </c>
      <c r="K133" t="s">
        <v>608</v>
      </c>
      <c r="L133">
        <v>-17.37</v>
      </c>
      <c r="M133">
        <v>13.05</v>
      </c>
      <c r="N133">
        <v>45.51</v>
      </c>
      <c r="O133">
        <v>13.96</v>
      </c>
    </row>
    <row r="134" spans="1:15" x14ac:dyDescent="0.3">
      <c r="A134" t="s">
        <v>1861</v>
      </c>
      <c r="B134" t="s">
        <v>1724</v>
      </c>
      <c r="C134" t="s">
        <v>196</v>
      </c>
      <c r="D134" t="s">
        <v>1781</v>
      </c>
      <c r="E134">
        <v>192</v>
      </c>
      <c r="F134" t="s">
        <v>1720</v>
      </c>
      <c r="G134" t="s">
        <v>3</v>
      </c>
      <c r="H134" t="s">
        <v>604</v>
      </c>
      <c r="I134">
        <v>-4.8166670000000002E-3</v>
      </c>
      <c r="J134">
        <v>49.436549999999997</v>
      </c>
      <c r="K134" t="s">
        <v>609</v>
      </c>
      <c r="L134">
        <v>-17.14</v>
      </c>
      <c r="M134">
        <v>12.43</v>
      </c>
      <c r="N134">
        <v>45.83</v>
      </c>
      <c r="O134">
        <v>14.3</v>
      </c>
    </row>
    <row r="135" spans="1:15" x14ac:dyDescent="0.3">
      <c r="A135" t="s">
        <v>1862</v>
      </c>
      <c r="B135" t="s">
        <v>1724</v>
      </c>
      <c r="C135" t="s">
        <v>196</v>
      </c>
      <c r="D135" t="s">
        <v>1781</v>
      </c>
      <c r="E135">
        <v>157</v>
      </c>
      <c r="F135" t="s">
        <v>1720</v>
      </c>
      <c r="G135" t="s">
        <v>3</v>
      </c>
      <c r="H135" t="s">
        <v>604</v>
      </c>
      <c r="I135">
        <v>-4.8166670000000002E-3</v>
      </c>
      <c r="J135">
        <v>49.436549999999997</v>
      </c>
      <c r="K135" t="s">
        <v>610</v>
      </c>
      <c r="L135">
        <v>-17.03</v>
      </c>
      <c r="M135">
        <v>12.59</v>
      </c>
      <c r="N135">
        <v>46.47</v>
      </c>
      <c r="O135">
        <v>14.25</v>
      </c>
    </row>
    <row r="136" spans="1:15" x14ac:dyDescent="0.3">
      <c r="A136" t="s">
        <v>1863</v>
      </c>
      <c r="B136" t="s">
        <v>1724</v>
      </c>
      <c r="C136" t="s">
        <v>196</v>
      </c>
      <c r="D136" t="s">
        <v>1781</v>
      </c>
      <c r="E136">
        <v>162</v>
      </c>
      <c r="F136" t="s">
        <v>1720</v>
      </c>
      <c r="G136" t="s">
        <v>3</v>
      </c>
      <c r="H136" t="s">
        <v>604</v>
      </c>
      <c r="I136">
        <v>-4.8166670000000002E-3</v>
      </c>
      <c r="J136">
        <v>49.436549999999997</v>
      </c>
      <c r="K136" t="s">
        <v>611</v>
      </c>
      <c r="L136">
        <v>-16.75</v>
      </c>
      <c r="M136">
        <v>13.29</v>
      </c>
      <c r="N136">
        <v>46.83</v>
      </c>
      <c r="O136">
        <v>14.43</v>
      </c>
    </row>
    <row r="137" spans="1:15" x14ac:dyDescent="0.3">
      <c r="A137" t="s">
        <v>1864</v>
      </c>
      <c r="B137" t="s">
        <v>1724</v>
      </c>
      <c r="C137" t="s">
        <v>196</v>
      </c>
      <c r="D137" t="s">
        <v>1781</v>
      </c>
      <c r="E137">
        <v>168</v>
      </c>
      <c r="F137" t="s">
        <v>1720</v>
      </c>
      <c r="G137" t="s">
        <v>3</v>
      </c>
      <c r="H137" t="s">
        <v>604</v>
      </c>
      <c r="I137">
        <v>-4.8166670000000002E-3</v>
      </c>
      <c r="J137">
        <v>49.436549999999997</v>
      </c>
      <c r="K137" t="s">
        <v>612</v>
      </c>
      <c r="L137">
        <v>-16.239999999999998</v>
      </c>
      <c r="M137">
        <v>12.75</v>
      </c>
      <c r="N137">
        <v>45.69</v>
      </c>
      <c r="O137">
        <v>13.98</v>
      </c>
    </row>
    <row r="138" spans="1:15" x14ac:dyDescent="0.3">
      <c r="A138" t="s">
        <v>1865</v>
      </c>
      <c r="B138" t="s">
        <v>1724</v>
      </c>
      <c r="C138" t="s">
        <v>196</v>
      </c>
      <c r="D138" t="s">
        <v>1781</v>
      </c>
      <c r="E138">
        <v>147</v>
      </c>
      <c r="F138" t="s">
        <v>1720</v>
      </c>
      <c r="G138" t="s">
        <v>3</v>
      </c>
      <c r="H138" t="s">
        <v>604</v>
      </c>
      <c r="I138">
        <v>-4.8166670000000002E-3</v>
      </c>
      <c r="J138">
        <v>49.436549999999997</v>
      </c>
      <c r="K138" t="s">
        <v>613</v>
      </c>
      <c r="L138">
        <v>-16.809999999999999</v>
      </c>
      <c r="M138">
        <v>12.47</v>
      </c>
      <c r="N138">
        <v>46.23</v>
      </c>
      <c r="O138">
        <v>14.02</v>
      </c>
    </row>
    <row r="139" spans="1:15" x14ac:dyDescent="0.3">
      <c r="A139" t="s">
        <v>1866</v>
      </c>
      <c r="B139" t="s">
        <v>1724</v>
      </c>
      <c r="C139" t="s">
        <v>196</v>
      </c>
      <c r="D139" t="s">
        <v>1781</v>
      </c>
      <c r="E139">
        <v>159</v>
      </c>
      <c r="F139" t="s">
        <v>1720</v>
      </c>
      <c r="G139" t="s">
        <v>3</v>
      </c>
      <c r="H139" t="s">
        <v>604</v>
      </c>
      <c r="I139">
        <v>-4.8166670000000002E-3</v>
      </c>
      <c r="J139">
        <v>49.436549999999997</v>
      </c>
      <c r="K139" t="s">
        <v>614</v>
      </c>
      <c r="L139">
        <v>-17.2</v>
      </c>
      <c r="M139">
        <v>13.35</v>
      </c>
      <c r="N139">
        <v>47.08</v>
      </c>
      <c r="O139">
        <v>14.44</v>
      </c>
    </row>
    <row r="140" spans="1:15" x14ac:dyDescent="0.3">
      <c r="A140" t="s">
        <v>1867</v>
      </c>
      <c r="B140" t="s">
        <v>1724</v>
      </c>
      <c r="C140" t="s">
        <v>196</v>
      </c>
      <c r="D140" t="s">
        <v>1781</v>
      </c>
      <c r="E140">
        <v>163</v>
      </c>
      <c r="F140" t="s">
        <v>1720</v>
      </c>
      <c r="G140" t="s">
        <v>3</v>
      </c>
      <c r="H140" t="s">
        <v>512</v>
      </c>
      <c r="I140">
        <v>1.2416666999999999E-2</v>
      </c>
      <c r="J140">
        <v>49.402716669999997</v>
      </c>
      <c r="K140" t="s">
        <v>615</v>
      </c>
      <c r="L140">
        <v>-16.78</v>
      </c>
      <c r="M140">
        <v>12.08</v>
      </c>
      <c r="N140">
        <v>46.35</v>
      </c>
      <c r="O140">
        <v>14.53</v>
      </c>
    </row>
    <row r="141" spans="1:15" x14ac:dyDescent="0.3">
      <c r="A141" t="s">
        <v>1868</v>
      </c>
      <c r="B141" t="s">
        <v>1724</v>
      </c>
      <c r="C141" t="s">
        <v>196</v>
      </c>
      <c r="D141" t="s">
        <v>1781</v>
      </c>
      <c r="E141">
        <v>185</v>
      </c>
      <c r="F141" t="s">
        <v>1720</v>
      </c>
      <c r="G141" t="s">
        <v>3</v>
      </c>
      <c r="H141" t="s">
        <v>513</v>
      </c>
      <c r="I141">
        <v>-3.5500000000000002E-3</v>
      </c>
      <c r="J141">
        <v>49.4251</v>
      </c>
      <c r="K141" t="s">
        <v>616</v>
      </c>
      <c r="L141">
        <v>-16.03</v>
      </c>
      <c r="M141">
        <v>13.23</v>
      </c>
      <c r="N141">
        <v>45.39</v>
      </c>
      <c r="O141">
        <v>14.31</v>
      </c>
    </row>
    <row r="142" spans="1:15" x14ac:dyDescent="0.3">
      <c r="A142" t="s">
        <v>1869</v>
      </c>
      <c r="B142" t="s">
        <v>1724</v>
      </c>
      <c r="C142" t="s">
        <v>196</v>
      </c>
      <c r="D142" t="s">
        <v>1776</v>
      </c>
      <c r="E142">
        <v>181</v>
      </c>
      <c r="F142" t="s">
        <v>1720</v>
      </c>
      <c r="G142" t="s">
        <v>13</v>
      </c>
      <c r="H142" t="s">
        <v>576</v>
      </c>
      <c r="I142">
        <v>0.26315</v>
      </c>
      <c r="J142">
        <v>49.44073333</v>
      </c>
      <c r="K142" t="s">
        <v>582</v>
      </c>
      <c r="L142">
        <v>-18.45</v>
      </c>
      <c r="M142">
        <v>14.57</v>
      </c>
      <c r="N142">
        <v>46.87</v>
      </c>
      <c r="O142">
        <v>14.48</v>
      </c>
    </row>
    <row r="143" spans="1:15" x14ac:dyDescent="0.3">
      <c r="A143" t="s">
        <v>1870</v>
      </c>
      <c r="B143" t="s">
        <v>1724</v>
      </c>
      <c r="C143" t="s">
        <v>196</v>
      </c>
      <c r="D143" t="s">
        <v>1776</v>
      </c>
      <c r="E143">
        <v>193</v>
      </c>
      <c r="F143" t="s">
        <v>1720</v>
      </c>
      <c r="G143" t="s">
        <v>13</v>
      </c>
      <c r="H143" t="s">
        <v>576</v>
      </c>
      <c r="I143">
        <v>0.26315</v>
      </c>
      <c r="J143">
        <v>49.44073333</v>
      </c>
      <c r="K143" t="s">
        <v>583</v>
      </c>
      <c r="L143">
        <v>-19.329999999999998</v>
      </c>
      <c r="M143">
        <v>14.44</v>
      </c>
      <c r="N143">
        <v>47.25</v>
      </c>
      <c r="O143">
        <v>14.8</v>
      </c>
    </row>
    <row r="144" spans="1:15" x14ac:dyDescent="0.3">
      <c r="A144" t="s">
        <v>1871</v>
      </c>
      <c r="B144" t="s">
        <v>1724</v>
      </c>
      <c r="C144" t="s">
        <v>196</v>
      </c>
      <c r="D144" t="s">
        <v>1776</v>
      </c>
      <c r="E144">
        <v>173</v>
      </c>
      <c r="F144" t="s">
        <v>1720</v>
      </c>
      <c r="G144" t="s">
        <v>13</v>
      </c>
      <c r="H144" t="s">
        <v>576</v>
      </c>
      <c r="I144">
        <v>0.26315</v>
      </c>
      <c r="J144">
        <v>49.44073333</v>
      </c>
      <c r="K144" t="s">
        <v>584</v>
      </c>
      <c r="L144">
        <v>-18.68</v>
      </c>
      <c r="M144">
        <v>14.4</v>
      </c>
      <c r="N144">
        <v>47.37</v>
      </c>
      <c r="O144">
        <v>14.78</v>
      </c>
    </row>
    <row r="145" spans="1:15" x14ac:dyDescent="0.3">
      <c r="A145" t="s">
        <v>1872</v>
      </c>
      <c r="B145" t="s">
        <v>1724</v>
      </c>
      <c r="C145" t="s">
        <v>196</v>
      </c>
      <c r="D145" t="s">
        <v>1778</v>
      </c>
      <c r="E145">
        <v>152</v>
      </c>
      <c r="F145" t="s">
        <v>1720</v>
      </c>
      <c r="G145" t="s">
        <v>13</v>
      </c>
      <c r="H145" t="s">
        <v>617</v>
      </c>
      <c r="I145">
        <v>0.148466667</v>
      </c>
      <c r="J145">
        <v>49.448549999999997</v>
      </c>
      <c r="K145" t="s">
        <v>618</v>
      </c>
      <c r="L145">
        <v>-19.86</v>
      </c>
      <c r="M145">
        <v>14.35</v>
      </c>
      <c r="N145">
        <v>47.3</v>
      </c>
      <c r="O145">
        <v>14.64</v>
      </c>
    </row>
    <row r="146" spans="1:15" x14ac:dyDescent="0.3">
      <c r="A146" t="s">
        <v>1873</v>
      </c>
      <c r="B146" t="s">
        <v>1724</v>
      </c>
      <c r="C146" t="s">
        <v>196</v>
      </c>
      <c r="D146" t="s">
        <v>1778</v>
      </c>
      <c r="E146">
        <v>141</v>
      </c>
      <c r="F146" t="s">
        <v>1720</v>
      </c>
      <c r="G146" t="s">
        <v>13</v>
      </c>
      <c r="H146" t="s">
        <v>617</v>
      </c>
      <c r="I146">
        <v>0.148466667</v>
      </c>
      <c r="J146">
        <v>49.448549999999997</v>
      </c>
      <c r="K146" t="s">
        <v>619</v>
      </c>
      <c r="L146">
        <v>-19.8</v>
      </c>
      <c r="M146">
        <v>14.39</v>
      </c>
      <c r="N146">
        <v>46.79</v>
      </c>
      <c r="O146">
        <v>14.49</v>
      </c>
    </row>
    <row r="147" spans="1:15" x14ac:dyDescent="0.3">
      <c r="A147" t="s">
        <v>1874</v>
      </c>
      <c r="B147" t="s">
        <v>1724</v>
      </c>
      <c r="C147" t="s">
        <v>196</v>
      </c>
      <c r="D147" t="s">
        <v>1778</v>
      </c>
      <c r="E147">
        <v>157</v>
      </c>
      <c r="F147" t="s">
        <v>1720</v>
      </c>
      <c r="G147" t="s">
        <v>13</v>
      </c>
      <c r="H147" t="s">
        <v>274</v>
      </c>
      <c r="I147">
        <v>0.12586666699999999</v>
      </c>
      <c r="J147">
        <v>49.449033329999999</v>
      </c>
      <c r="K147" t="s">
        <v>620</v>
      </c>
      <c r="L147">
        <v>-19.71</v>
      </c>
      <c r="M147">
        <v>14.09</v>
      </c>
      <c r="N147">
        <v>46.9</v>
      </c>
      <c r="O147">
        <v>14.24</v>
      </c>
    </row>
    <row r="148" spans="1:15" x14ac:dyDescent="0.3">
      <c r="A148" t="s">
        <v>1875</v>
      </c>
      <c r="B148" t="s">
        <v>1724</v>
      </c>
      <c r="C148" t="s">
        <v>196</v>
      </c>
      <c r="D148" t="s">
        <v>1778</v>
      </c>
      <c r="E148">
        <v>143</v>
      </c>
      <c r="F148" t="s">
        <v>1720</v>
      </c>
      <c r="G148" t="s">
        <v>13</v>
      </c>
      <c r="H148" t="s">
        <v>274</v>
      </c>
      <c r="I148">
        <v>0.12586666699999999</v>
      </c>
      <c r="J148">
        <v>49.449033329999999</v>
      </c>
      <c r="K148" t="s">
        <v>621</v>
      </c>
      <c r="L148">
        <v>-19.79</v>
      </c>
      <c r="M148">
        <v>15.01</v>
      </c>
      <c r="N148">
        <v>45.51</v>
      </c>
      <c r="O148">
        <v>13.79</v>
      </c>
    </row>
    <row r="149" spans="1:15" x14ac:dyDescent="0.3">
      <c r="A149" t="s">
        <v>1876</v>
      </c>
      <c r="B149" t="s">
        <v>1724</v>
      </c>
      <c r="C149" t="s">
        <v>196</v>
      </c>
      <c r="D149" t="s">
        <v>1778</v>
      </c>
      <c r="E149">
        <v>158</v>
      </c>
      <c r="F149" t="s">
        <v>1720</v>
      </c>
      <c r="G149" t="s">
        <v>13</v>
      </c>
      <c r="H149" t="s">
        <v>274</v>
      </c>
      <c r="I149">
        <v>0.12586666699999999</v>
      </c>
      <c r="J149">
        <v>49.449033329999999</v>
      </c>
      <c r="K149" t="s">
        <v>622</v>
      </c>
      <c r="L149">
        <v>-18.690000000000001</v>
      </c>
      <c r="M149">
        <v>15.01</v>
      </c>
      <c r="N149">
        <v>43.64</v>
      </c>
      <c r="O149">
        <v>12.64</v>
      </c>
    </row>
    <row r="150" spans="1:15" x14ac:dyDescent="0.3">
      <c r="A150" t="s">
        <v>1877</v>
      </c>
      <c r="B150" t="s">
        <v>1724</v>
      </c>
      <c r="C150" t="s">
        <v>196</v>
      </c>
      <c r="D150" t="s">
        <v>1778</v>
      </c>
      <c r="E150">
        <v>143</v>
      </c>
      <c r="F150" t="s">
        <v>1720</v>
      </c>
      <c r="G150" t="s">
        <v>13</v>
      </c>
      <c r="H150" t="s">
        <v>274</v>
      </c>
      <c r="I150">
        <v>0.12586666699999999</v>
      </c>
      <c r="J150">
        <v>49.449033329999999</v>
      </c>
      <c r="K150" t="s">
        <v>623</v>
      </c>
      <c r="L150">
        <v>-19.760000000000002</v>
      </c>
      <c r="M150">
        <v>14.07</v>
      </c>
      <c r="N150">
        <v>46.1</v>
      </c>
      <c r="O150">
        <v>14.08</v>
      </c>
    </row>
    <row r="151" spans="1:15" x14ac:dyDescent="0.3">
      <c r="A151" t="s">
        <v>1878</v>
      </c>
      <c r="B151" t="s">
        <v>1724</v>
      </c>
      <c r="C151" t="s">
        <v>196</v>
      </c>
      <c r="D151" t="s">
        <v>1778</v>
      </c>
      <c r="E151">
        <v>159</v>
      </c>
      <c r="F151" t="s">
        <v>1720</v>
      </c>
      <c r="G151" t="s">
        <v>13</v>
      </c>
      <c r="H151" t="s">
        <v>274</v>
      </c>
      <c r="I151">
        <v>0.12586666699999999</v>
      </c>
      <c r="J151">
        <v>49.449033329999999</v>
      </c>
      <c r="K151" t="s">
        <v>624</v>
      </c>
      <c r="L151">
        <v>-18.73</v>
      </c>
      <c r="M151">
        <v>13.39</v>
      </c>
      <c r="N151">
        <v>47.78</v>
      </c>
      <c r="O151">
        <v>14.37</v>
      </c>
    </row>
    <row r="152" spans="1:15" x14ac:dyDescent="0.3">
      <c r="A152" t="s">
        <v>1879</v>
      </c>
      <c r="B152" t="s">
        <v>1724</v>
      </c>
      <c r="C152" t="s">
        <v>196</v>
      </c>
      <c r="D152" t="s">
        <v>1778</v>
      </c>
      <c r="E152">
        <v>129</v>
      </c>
      <c r="F152" t="s">
        <v>1720</v>
      </c>
      <c r="G152" t="s">
        <v>13</v>
      </c>
      <c r="H152" t="s">
        <v>274</v>
      </c>
      <c r="I152">
        <v>0.12586666699999999</v>
      </c>
      <c r="J152">
        <v>49.449033329999999</v>
      </c>
      <c r="K152" t="s">
        <v>625</v>
      </c>
      <c r="L152">
        <v>-19.97</v>
      </c>
      <c r="M152">
        <v>14.58</v>
      </c>
      <c r="N152">
        <v>45.42</v>
      </c>
      <c r="O152">
        <v>13.93</v>
      </c>
    </row>
    <row r="153" spans="1:15" x14ac:dyDescent="0.3">
      <c r="A153" t="s">
        <v>1880</v>
      </c>
      <c r="B153" t="s">
        <v>1724</v>
      </c>
      <c r="C153" t="s">
        <v>196</v>
      </c>
      <c r="D153" t="s">
        <v>1778</v>
      </c>
      <c r="E153">
        <v>150</v>
      </c>
      <c r="F153" t="s">
        <v>1720</v>
      </c>
      <c r="G153" t="s">
        <v>13</v>
      </c>
      <c r="H153" t="s">
        <v>274</v>
      </c>
      <c r="I153">
        <v>0.12586666699999999</v>
      </c>
      <c r="J153">
        <v>49.449033329999999</v>
      </c>
      <c r="K153" t="s">
        <v>626</v>
      </c>
      <c r="L153">
        <v>-17.95</v>
      </c>
      <c r="M153">
        <v>13.54</v>
      </c>
      <c r="N153">
        <v>47.25</v>
      </c>
      <c r="O153">
        <v>14.42</v>
      </c>
    </row>
    <row r="154" spans="1:15" x14ac:dyDescent="0.3">
      <c r="A154" t="s">
        <v>1881</v>
      </c>
      <c r="B154" t="s">
        <v>1724</v>
      </c>
      <c r="C154" t="s">
        <v>196</v>
      </c>
      <c r="D154" t="s">
        <v>1778</v>
      </c>
      <c r="E154">
        <v>149</v>
      </c>
      <c r="F154" t="s">
        <v>1720</v>
      </c>
      <c r="G154" t="s">
        <v>13</v>
      </c>
      <c r="H154" t="s">
        <v>274</v>
      </c>
      <c r="I154">
        <v>0.12586666699999999</v>
      </c>
      <c r="J154">
        <v>49.449033329999999</v>
      </c>
      <c r="K154" t="s">
        <v>627</v>
      </c>
      <c r="L154">
        <v>-19.7</v>
      </c>
      <c r="M154">
        <v>14.49</v>
      </c>
      <c r="N154">
        <v>45.95</v>
      </c>
      <c r="O154">
        <v>14.08</v>
      </c>
    </row>
    <row r="155" spans="1:15" x14ac:dyDescent="0.3">
      <c r="A155" t="s">
        <v>1882</v>
      </c>
      <c r="B155" t="s">
        <v>1724</v>
      </c>
      <c r="C155" t="s">
        <v>196</v>
      </c>
      <c r="D155" t="s">
        <v>1778</v>
      </c>
      <c r="E155">
        <v>126</v>
      </c>
      <c r="F155" t="s">
        <v>1720</v>
      </c>
      <c r="G155" t="s">
        <v>13</v>
      </c>
      <c r="H155" t="s">
        <v>274</v>
      </c>
      <c r="I155">
        <v>0.12586666699999999</v>
      </c>
      <c r="J155">
        <v>49.449033329999999</v>
      </c>
      <c r="K155" t="s">
        <v>628</v>
      </c>
      <c r="L155">
        <v>-19.97</v>
      </c>
      <c r="M155">
        <v>14.47</v>
      </c>
      <c r="N155">
        <v>46.66</v>
      </c>
      <c r="O155">
        <v>14.16</v>
      </c>
    </row>
    <row r="156" spans="1:15" x14ac:dyDescent="0.3">
      <c r="A156" t="s">
        <v>1883</v>
      </c>
      <c r="B156" t="s">
        <v>1724</v>
      </c>
      <c r="C156" t="s">
        <v>196</v>
      </c>
      <c r="D156" t="s">
        <v>1778</v>
      </c>
      <c r="E156">
        <v>164</v>
      </c>
      <c r="F156" t="s">
        <v>1720</v>
      </c>
      <c r="G156" t="s">
        <v>13</v>
      </c>
      <c r="H156" t="s">
        <v>274</v>
      </c>
      <c r="I156">
        <v>0.12586666699999999</v>
      </c>
      <c r="J156">
        <v>49.449033329999999</v>
      </c>
      <c r="K156" t="s">
        <v>629</v>
      </c>
      <c r="L156">
        <v>-18.79</v>
      </c>
      <c r="M156">
        <v>13.52</v>
      </c>
      <c r="N156">
        <v>46.04</v>
      </c>
      <c r="O156">
        <v>14.17</v>
      </c>
    </row>
    <row r="157" spans="1:15" x14ac:dyDescent="0.3">
      <c r="A157" t="s">
        <v>1884</v>
      </c>
      <c r="B157" t="s">
        <v>1724</v>
      </c>
      <c r="C157" t="s">
        <v>196</v>
      </c>
      <c r="D157" t="s">
        <v>1781</v>
      </c>
      <c r="E157">
        <v>180</v>
      </c>
      <c r="F157" t="s">
        <v>1720</v>
      </c>
      <c r="G157" t="s">
        <v>14</v>
      </c>
      <c r="H157" t="s">
        <v>539</v>
      </c>
      <c r="I157">
        <v>0.170133333</v>
      </c>
      <c r="J157">
        <v>49.416483329999998</v>
      </c>
      <c r="K157" t="s">
        <v>632</v>
      </c>
      <c r="L157">
        <v>-18.940000000000001</v>
      </c>
      <c r="M157">
        <v>12.97</v>
      </c>
      <c r="N157">
        <v>47.01</v>
      </c>
      <c r="O157">
        <v>14.63</v>
      </c>
    </row>
    <row r="158" spans="1:15" x14ac:dyDescent="0.3">
      <c r="A158" t="s">
        <v>1885</v>
      </c>
      <c r="B158" t="s">
        <v>1724</v>
      </c>
      <c r="C158" t="s">
        <v>196</v>
      </c>
      <c r="D158" t="s">
        <v>1778</v>
      </c>
      <c r="E158">
        <v>150</v>
      </c>
      <c r="F158" t="s">
        <v>1720</v>
      </c>
      <c r="G158" t="s">
        <v>14</v>
      </c>
      <c r="H158" t="s">
        <v>266</v>
      </c>
      <c r="I158">
        <v>0.141633333</v>
      </c>
      <c r="J158">
        <v>49.42208333</v>
      </c>
      <c r="K158" t="s">
        <v>635</v>
      </c>
      <c r="L158">
        <v>-19.61</v>
      </c>
      <c r="M158">
        <v>13.65</v>
      </c>
      <c r="N158">
        <v>46.73</v>
      </c>
      <c r="O158">
        <v>14.39</v>
      </c>
    </row>
    <row r="159" spans="1:15" x14ac:dyDescent="0.3">
      <c r="A159" t="s">
        <v>1886</v>
      </c>
      <c r="B159" t="s">
        <v>1724</v>
      </c>
      <c r="C159" t="s">
        <v>196</v>
      </c>
      <c r="D159" t="s">
        <v>1781</v>
      </c>
      <c r="E159">
        <v>167</v>
      </c>
      <c r="F159" t="s">
        <v>1720</v>
      </c>
      <c r="G159" t="s">
        <v>14</v>
      </c>
      <c r="H159" t="s">
        <v>561</v>
      </c>
      <c r="I159">
        <v>8.9516666999999994E-2</v>
      </c>
      <c r="J159">
        <v>49.4161</v>
      </c>
      <c r="K159" t="s">
        <v>639</v>
      </c>
      <c r="L159">
        <v>-18.36</v>
      </c>
      <c r="M159">
        <v>13.19</v>
      </c>
      <c r="N159">
        <v>47.26</v>
      </c>
      <c r="O159">
        <v>14.61</v>
      </c>
    </row>
    <row r="160" spans="1:15" x14ac:dyDescent="0.3">
      <c r="A160" t="s">
        <v>1887</v>
      </c>
      <c r="B160" t="s">
        <v>1724</v>
      </c>
      <c r="C160" t="s">
        <v>196</v>
      </c>
      <c r="D160" t="s">
        <v>1781</v>
      </c>
      <c r="E160">
        <v>188</v>
      </c>
      <c r="F160" t="s">
        <v>1720</v>
      </c>
      <c r="G160" t="s">
        <v>14</v>
      </c>
      <c r="H160" t="s">
        <v>561</v>
      </c>
      <c r="I160">
        <v>8.9516666999999994E-2</v>
      </c>
      <c r="J160">
        <v>49.4161</v>
      </c>
      <c r="K160" t="s">
        <v>640</v>
      </c>
      <c r="L160">
        <v>-16.64</v>
      </c>
      <c r="M160">
        <v>12.92</v>
      </c>
      <c r="N160">
        <v>47.45</v>
      </c>
      <c r="O160">
        <v>14.67</v>
      </c>
    </row>
    <row r="161" spans="1:15" x14ac:dyDescent="0.3">
      <c r="A161" t="s">
        <v>1888</v>
      </c>
      <c r="B161" t="s">
        <v>1724</v>
      </c>
      <c r="C161" t="s">
        <v>196</v>
      </c>
      <c r="D161" t="s">
        <v>1781</v>
      </c>
      <c r="E161">
        <v>147</v>
      </c>
      <c r="F161" t="s">
        <v>1720</v>
      </c>
      <c r="G161" t="s">
        <v>14</v>
      </c>
      <c r="H161" t="s">
        <v>561</v>
      </c>
      <c r="I161">
        <v>8.9516666999999994E-2</v>
      </c>
      <c r="J161">
        <v>49.4161</v>
      </c>
      <c r="K161" t="s">
        <v>641</v>
      </c>
      <c r="L161">
        <v>-19.11</v>
      </c>
      <c r="M161">
        <v>12.18</v>
      </c>
      <c r="N161">
        <v>47.06</v>
      </c>
      <c r="O161">
        <v>14.5</v>
      </c>
    </row>
    <row r="162" spans="1:15" x14ac:dyDescent="0.3">
      <c r="A162" t="s">
        <v>1889</v>
      </c>
      <c r="B162" t="s">
        <v>1724</v>
      </c>
      <c r="C162" t="s">
        <v>196</v>
      </c>
      <c r="D162" t="s">
        <v>1781</v>
      </c>
      <c r="E162">
        <v>133</v>
      </c>
      <c r="F162" t="s">
        <v>1720</v>
      </c>
      <c r="G162" t="s">
        <v>14</v>
      </c>
      <c r="H162" t="s">
        <v>561</v>
      </c>
      <c r="I162">
        <v>8.9516666999999994E-2</v>
      </c>
      <c r="J162">
        <v>49.4161</v>
      </c>
      <c r="K162" t="s">
        <v>642</v>
      </c>
      <c r="L162">
        <v>-19.190000000000001</v>
      </c>
      <c r="M162">
        <v>13.57</v>
      </c>
      <c r="N162">
        <v>45.68</v>
      </c>
      <c r="O162">
        <v>14.04</v>
      </c>
    </row>
    <row r="163" spans="1:15" x14ac:dyDescent="0.3">
      <c r="A163" t="s">
        <v>1890</v>
      </c>
      <c r="B163" t="s">
        <v>1724</v>
      </c>
      <c r="C163" t="s">
        <v>196</v>
      </c>
      <c r="D163" t="s">
        <v>1781</v>
      </c>
      <c r="E163">
        <v>162</v>
      </c>
      <c r="F163" t="s">
        <v>1720</v>
      </c>
      <c r="G163" t="s">
        <v>14</v>
      </c>
      <c r="H163" t="s">
        <v>268</v>
      </c>
      <c r="I163">
        <v>9.2183333000000006E-2</v>
      </c>
      <c r="J163">
        <v>49.405533329999997</v>
      </c>
      <c r="K163" t="s">
        <v>644</v>
      </c>
      <c r="L163">
        <v>-17.86</v>
      </c>
      <c r="M163">
        <v>13.32</v>
      </c>
      <c r="N163">
        <v>46.33</v>
      </c>
      <c r="O163">
        <v>14.4</v>
      </c>
    </row>
    <row r="164" spans="1:15" x14ac:dyDescent="0.3">
      <c r="A164" t="s">
        <v>1891</v>
      </c>
      <c r="B164" t="s">
        <v>1724</v>
      </c>
      <c r="C164" t="s">
        <v>196</v>
      </c>
      <c r="D164" t="s">
        <v>1781</v>
      </c>
      <c r="E164">
        <v>159</v>
      </c>
      <c r="F164" t="s">
        <v>1720</v>
      </c>
      <c r="G164" t="s">
        <v>14</v>
      </c>
      <c r="H164" t="s">
        <v>268</v>
      </c>
      <c r="I164">
        <v>9.2183333000000006E-2</v>
      </c>
      <c r="J164">
        <v>49.405533329999997</v>
      </c>
      <c r="K164" t="s">
        <v>645</v>
      </c>
      <c r="L164">
        <v>-17.45</v>
      </c>
      <c r="M164">
        <v>13.11</v>
      </c>
      <c r="N164">
        <v>46.92</v>
      </c>
      <c r="O164">
        <v>14.34</v>
      </c>
    </row>
    <row r="165" spans="1:15" x14ac:dyDescent="0.3">
      <c r="A165" t="s">
        <v>1892</v>
      </c>
      <c r="B165" t="s">
        <v>1724</v>
      </c>
      <c r="C165" t="s">
        <v>196</v>
      </c>
      <c r="D165" t="s">
        <v>1781</v>
      </c>
      <c r="E165">
        <v>149</v>
      </c>
      <c r="F165" t="s">
        <v>1720</v>
      </c>
      <c r="G165" t="s">
        <v>14</v>
      </c>
      <c r="H165" t="s">
        <v>268</v>
      </c>
      <c r="I165">
        <v>9.2183333000000006E-2</v>
      </c>
      <c r="J165">
        <v>49.405533329999997</v>
      </c>
      <c r="K165" t="s">
        <v>646</v>
      </c>
      <c r="L165">
        <v>-18.829999999999998</v>
      </c>
      <c r="M165">
        <v>13.03</v>
      </c>
      <c r="N165">
        <v>44.37</v>
      </c>
      <c r="O165">
        <v>13.67</v>
      </c>
    </row>
    <row r="166" spans="1:15" x14ac:dyDescent="0.3">
      <c r="A166" t="s">
        <v>1893</v>
      </c>
      <c r="B166" t="s">
        <v>1724</v>
      </c>
      <c r="C166" t="s">
        <v>196</v>
      </c>
      <c r="D166" t="s">
        <v>1781</v>
      </c>
      <c r="E166">
        <v>142</v>
      </c>
      <c r="F166" t="s">
        <v>1720</v>
      </c>
      <c r="G166" t="s">
        <v>14</v>
      </c>
      <c r="H166" t="s">
        <v>268</v>
      </c>
      <c r="I166">
        <v>9.2183333000000006E-2</v>
      </c>
      <c r="J166">
        <v>49.405533329999997</v>
      </c>
      <c r="K166" t="s">
        <v>647</v>
      </c>
      <c r="L166">
        <v>-18.829999999999998</v>
      </c>
      <c r="M166">
        <v>13.08</v>
      </c>
      <c r="N166">
        <v>46.06</v>
      </c>
      <c r="O166">
        <v>14.01</v>
      </c>
    </row>
    <row r="167" spans="1:15" x14ac:dyDescent="0.3">
      <c r="A167" t="s">
        <v>1894</v>
      </c>
      <c r="B167" t="s">
        <v>1724</v>
      </c>
      <c r="C167" t="s">
        <v>196</v>
      </c>
      <c r="D167" t="s">
        <v>1781</v>
      </c>
      <c r="E167">
        <v>147</v>
      </c>
      <c r="F167" t="s">
        <v>1720</v>
      </c>
      <c r="G167" t="s">
        <v>14</v>
      </c>
      <c r="H167" t="s">
        <v>268</v>
      </c>
      <c r="I167">
        <v>9.2183333000000006E-2</v>
      </c>
      <c r="J167">
        <v>49.405533329999997</v>
      </c>
      <c r="K167" t="s">
        <v>648</v>
      </c>
      <c r="L167">
        <v>-18.600000000000001</v>
      </c>
      <c r="M167">
        <v>12.96</v>
      </c>
      <c r="N167">
        <v>45.16</v>
      </c>
      <c r="O167">
        <v>13.73</v>
      </c>
    </row>
    <row r="168" spans="1:15" x14ac:dyDescent="0.3">
      <c r="A168" t="s">
        <v>1895</v>
      </c>
      <c r="B168" t="s">
        <v>1724</v>
      </c>
      <c r="C168" t="s">
        <v>196</v>
      </c>
      <c r="D168" t="s">
        <v>1781</v>
      </c>
      <c r="E168">
        <v>142</v>
      </c>
      <c r="F168" t="s">
        <v>1720</v>
      </c>
      <c r="G168" t="s">
        <v>14</v>
      </c>
      <c r="H168" t="s">
        <v>268</v>
      </c>
      <c r="I168">
        <v>9.2183333000000006E-2</v>
      </c>
      <c r="J168">
        <v>49.405533329999997</v>
      </c>
      <c r="K168" t="s">
        <v>649</v>
      </c>
      <c r="L168">
        <v>-19.489999999999998</v>
      </c>
      <c r="M168">
        <v>13.68</v>
      </c>
      <c r="N168">
        <v>45.78</v>
      </c>
      <c r="O168">
        <v>14.02</v>
      </c>
    </row>
    <row r="169" spans="1:15" x14ac:dyDescent="0.3">
      <c r="A169" t="s">
        <v>1896</v>
      </c>
      <c r="B169" t="s">
        <v>1724</v>
      </c>
      <c r="C169" t="s">
        <v>196</v>
      </c>
      <c r="D169" t="s">
        <v>1781</v>
      </c>
      <c r="E169">
        <v>152</v>
      </c>
      <c r="F169" t="s">
        <v>1720</v>
      </c>
      <c r="G169" t="s">
        <v>14</v>
      </c>
      <c r="H169" t="s">
        <v>268</v>
      </c>
      <c r="I169">
        <v>9.2183333000000006E-2</v>
      </c>
      <c r="J169">
        <v>49.405533329999997</v>
      </c>
      <c r="K169" t="s">
        <v>650</v>
      </c>
      <c r="L169">
        <v>-18.68</v>
      </c>
      <c r="M169">
        <v>13.25</v>
      </c>
      <c r="N169">
        <v>43.59</v>
      </c>
      <c r="O169">
        <v>12.89</v>
      </c>
    </row>
    <row r="170" spans="1:15" x14ac:dyDescent="0.3">
      <c r="A170" t="s">
        <v>1897</v>
      </c>
      <c r="B170" t="s">
        <v>1724</v>
      </c>
      <c r="C170" t="s">
        <v>196</v>
      </c>
      <c r="D170" t="s">
        <v>1781</v>
      </c>
      <c r="E170">
        <v>153</v>
      </c>
      <c r="F170" t="s">
        <v>1720</v>
      </c>
      <c r="G170" t="s">
        <v>14</v>
      </c>
      <c r="H170" t="s">
        <v>268</v>
      </c>
      <c r="I170">
        <v>9.2183333000000006E-2</v>
      </c>
      <c r="J170">
        <v>49.405533329999997</v>
      </c>
      <c r="K170" t="s">
        <v>651</v>
      </c>
      <c r="L170">
        <v>-18.86</v>
      </c>
      <c r="M170">
        <v>12.81</v>
      </c>
      <c r="N170">
        <v>45.84</v>
      </c>
      <c r="O170">
        <v>13.91</v>
      </c>
    </row>
    <row r="171" spans="1:15" x14ac:dyDescent="0.3">
      <c r="A171" t="s">
        <v>1898</v>
      </c>
      <c r="B171" t="s">
        <v>1724</v>
      </c>
      <c r="C171" t="s">
        <v>196</v>
      </c>
      <c r="D171" t="s">
        <v>1781</v>
      </c>
      <c r="E171">
        <v>172</v>
      </c>
      <c r="F171" t="s">
        <v>1720</v>
      </c>
      <c r="G171" t="s">
        <v>14</v>
      </c>
      <c r="H171" t="s">
        <v>268</v>
      </c>
      <c r="I171">
        <v>9.2183333000000006E-2</v>
      </c>
      <c r="J171">
        <v>49.405533329999997</v>
      </c>
      <c r="K171" t="s">
        <v>652</v>
      </c>
      <c r="L171">
        <v>-16.07</v>
      </c>
      <c r="M171">
        <v>13.08</v>
      </c>
      <c r="N171">
        <v>46.42</v>
      </c>
      <c r="O171">
        <v>14.2</v>
      </c>
    </row>
    <row r="172" spans="1:15" x14ac:dyDescent="0.3">
      <c r="A172" t="s">
        <v>1899</v>
      </c>
      <c r="B172" t="s">
        <v>1724</v>
      </c>
      <c r="C172" t="s">
        <v>196</v>
      </c>
      <c r="D172" t="s">
        <v>1781</v>
      </c>
      <c r="E172">
        <v>168</v>
      </c>
      <c r="F172" t="s">
        <v>1720</v>
      </c>
      <c r="G172" t="s">
        <v>14</v>
      </c>
      <c r="H172" t="s">
        <v>268</v>
      </c>
      <c r="I172">
        <v>9.2183333000000006E-2</v>
      </c>
      <c r="J172">
        <v>49.405533329999997</v>
      </c>
      <c r="K172" t="s">
        <v>653</v>
      </c>
      <c r="L172">
        <v>-15.99</v>
      </c>
      <c r="M172">
        <v>13.36</v>
      </c>
      <c r="N172">
        <v>46.75</v>
      </c>
      <c r="O172">
        <v>14.34</v>
      </c>
    </row>
    <row r="173" spans="1:15" x14ac:dyDescent="0.3">
      <c r="A173" t="s">
        <v>1900</v>
      </c>
      <c r="B173" t="s">
        <v>1724</v>
      </c>
      <c r="C173" t="s">
        <v>196</v>
      </c>
      <c r="D173" t="s">
        <v>1781</v>
      </c>
      <c r="E173">
        <v>150</v>
      </c>
      <c r="F173" t="s">
        <v>1720</v>
      </c>
      <c r="G173" t="s">
        <v>14</v>
      </c>
      <c r="H173" t="s">
        <v>268</v>
      </c>
      <c r="I173">
        <v>9.2183333000000006E-2</v>
      </c>
      <c r="J173">
        <v>49.405533329999997</v>
      </c>
      <c r="K173" t="s">
        <v>654</v>
      </c>
      <c r="L173">
        <v>-18.52</v>
      </c>
      <c r="M173">
        <v>12.67</v>
      </c>
      <c r="N173">
        <v>46.98</v>
      </c>
      <c r="O173">
        <v>14.36</v>
      </c>
    </row>
    <row r="174" spans="1:15" x14ac:dyDescent="0.3">
      <c r="A174" t="s">
        <v>1901</v>
      </c>
      <c r="B174" t="s">
        <v>1724</v>
      </c>
      <c r="C174" t="s">
        <v>196</v>
      </c>
      <c r="D174" t="s">
        <v>1781</v>
      </c>
      <c r="E174">
        <v>129</v>
      </c>
      <c r="F174" t="s">
        <v>1720</v>
      </c>
      <c r="G174" t="s">
        <v>14</v>
      </c>
      <c r="H174" t="s">
        <v>268</v>
      </c>
      <c r="I174">
        <v>9.2183333000000006E-2</v>
      </c>
      <c r="J174">
        <v>49.405533329999997</v>
      </c>
      <c r="K174" t="s">
        <v>655</v>
      </c>
      <c r="L174">
        <v>-18.100000000000001</v>
      </c>
      <c r="M174">
        <v>13.03</v>
      </c>
      <c r="N174">
        <v>45.78</v>
      </c>
      <c r="O174">
        <v>14.09</v>
      </c>
    </row>
    <row r="175" spans="1:15" x14ac:dyDescent="0.3">
      <c r="A175" t="s">
        <v>1902</v>
      </c>
      <c r="B175" t="s">
        <v>1724</v>
      </c>
      <c r="C175" t="s">
        <v>196</v>
      </c>
      <c r="D175" t="s">
        <v>1781</v>
      </c>
      <c r="E175">
        <v>196</v>
      </c>
      <c r="F175" t="s">
        <v>1720</v>
      </c>
      <c r="G175" t="s">
        <v>14</v>
      </c>
      <c r="H175" t="s">
        <v>268</v>
      </c>
      <c r="I175">
        <v>9.2183333000000006E-2</v>
      </c>
      <c r="J175">
        <v>49.405533329999997</v>
      </c>
      <c r="K175" t="s">
        <v>656</v>
      </c>
      <c r="L175">
        <v>-15.98</v>
      </c>
      <c r="M175">
        <v>12.85</v>
      </c>
      <c r="N175">
        <v>46.86</v>
      </c>
      <c r="O175">
        <v>14.57</v>
      </c>
    </row>
    <row r="176" spans="1:15" x14ac:dyDescent="0.3">
      <c r="A176" t="s">
        <v>1903</v>
      </c>
      <c r="B176" t="s">
        <v>1724</v>
      </c>
      <c r="C176" t="s">
        <v>196</v>
      </c>
      <c r="D176" t="s">
        <v>1781</v>
      </c>
      <c r="E176">
        <v>160</v>
      </c>
      <c r="F176" t="s">
        <v>1720</v>
      </c>
      <c r="G176" t="s">
        <v>14</v>
      </c>
      <c r="H176" t="s">
        <v>268</v>
      </c>
      <c r="I176">
        <v>9.2183333000000006E-2</v>
      </c>
      <c r="J176">
        <v>49.405533329999997</v>
      </c>
      <c r="K176" t="s">
        <v>657</v>
      </c>
      <c r="L176">
        <v>-17.03</v>
      </c>
      <c r="M176">
        <v>12.58</v>
      </c>
      <c r="N176">
        <v>47.57</v>
      </c>
      <c r="O176">
        <v>14.84</v>
      </c>
    </row>
  </sheetData>
  <autoFilter ref="A1:O176" xr:uid="{00000000-0009-0000-0000-000009000000}">
    <sortState xmlns:xlrd2="http://schemas.microsoft.com/office/spreadsheetml/2017/richdata2" ref="A2:Z176">
      <sortCondition descending="1" ref="B2:B176"/>
      <sortCondition ref="C2:C176"/>
      <sortCondition descending="1" ref="F2:F176"/>
      <sortCondition ref="G2:G176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66"/>
  <sheetViews>
    <sheetView zoomScale="70" zoomScaleNormal="7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Q52" sqref="Q52:Q63"/>
    </sheetView>
  </sheetViews>
  <sheetFormatPr baseColWidth="10" defaultRowHeight="14.4" x14ac:dyDescent="0.3"/>
  <cols>
    <col min="1" max="1" width="6.33203125" bestFit="1" customWidth="1"/>
    <col min="4" max="4" width="11.5546875" style="35"/>
    <col min="25" max="25" width="14.88671875" style="35" customWidth="1"/>
    <col min="26" max="27" width="18" customWidth="1"/>
  </cols>
  <sheetData>
    <row r="1" spans="1:30" ht="16.2" thickBot="1" x14ac:dyDescent="0.35">
      <c r="A1" s="434" t="s">
        <v>1366</v>
      </c>
      <c r="B1" s="435" t="s">
        <v>1367</v>
      </c>
      <c r="C1" s="435" t="s">
        <v>1368</v>
      </c>
      <c r="D1" s="436" t="s">
        <v>1369</v>
      </c>
      <c r="E1" s="435" t="s">
        <v>1370</v>
      </c>
      <c r="F1" s="435" t="s">
        <v>1371</v>
      </c>
      <c r="G1" s="435" t="s">
        <v>1372</v>
      </c>
      <c r="H1" s="435" t="s">
        <v>1373</v>
      </c>
      <c r="I1" s="435" t="s">
        <v>1374</v>
      </c>
      <c r="J1" s="435" t="s">
        <v>1375</v>
      </c>
      <c r="K1" s="435" t="s">
        <v>1376</v>
      </c>
      <c r="L1" s="435" t="s">
        <v>1377</v>
      </c>
      <c r="M1" s="435" t="s">
        <v>1378</v>
      </c>
      <c r="N1" s="435" t="s">
        <v>1379</v>
      </c>
      <c r="O1" s="435" t="s">
        <v>1380</v>
      </c>
      <c r="P1" s="435" t="s">
        <v>1381</v>
      </c>
      <c r="Q1" s="435" t="s">
        <v>1301</v>
      </c>
      <c r="R1" s="435" t="s">
        <v>1304</v>
      </c>
      <c r="S1" s="435" t="s">
        <v>1307</v>
      </c>
      <c r="T1" s="435" t="s">
        <v>1338</v>
      </c>
      <c r="U1" s="435" t="s">
        <v>1382</v>
      </c>
      <c r="V1" s="435" t="s">
        <v>1383</v>
      </c>
      <c r="W1" s="435" t="s">
        <v>1384</v>
      </c>
      <c r="X1" s="435" t="s">
        <v>1385</v>
      </c>
      <c r="Y1" s="436" t="s">
        <v>1358</v>
      </c>
      <c r="Z1" s="435" t="s">
        <v>1386</v>
      </c>
      <c r="AA1" s="435" t="s">
        <v>1360</v>
      </c>
      <c r="AB1" s="435" t="s">
        <v>1362</v>
      </c>
      <c r="AC1" s="437" t="s">
        <v>1387</v>
      </c>
      <c r="AD1" s="437" t="s">
        <v>1388</v>
      </c>
    </row>
    <row r="2" spans="1:30" ht="15" thickBot="1" x14ac:dyDescent="0.35">
      <c r="A2" s="438" t="s">
        <v>1389</v>
      </c>
      <c r="B2" s="439">
        <v>43033</v>
      </c>
      <c r="C2" s="440" t="s">
        <v>1390</v>
      </c>
      <c r="D2" s="441" t="s">
        <v>195</v>
      </c>
      <c r="E2" s="440">
        <v>11.35</v>
      </c>
      <c r="F2" s="440">
        <v>1.4539218991709628</v>
      </c>
      <c r="G2" s="440">
        <v>10.5</v>
      </c>
      <c r="H2" s="440">
        <v>1.4142135623730951</v>
      </c>
      <c r="I2" s="440">
        <v>12.004000000000001</v>
      </c>
      <c r="J2" s="440">
        <v>4.3701060246482211</v>
      </c>
      <c r="K2" s="440">
        <v>10.064</v>
      </c>
      <c r="L2" s="440">
        <v>3.953918450235296</v>
      </c>
      <c r="M2" s="442"/>
      <c r="N2" s="442"/>
      <c r="O2" s="442"/>
      <c r="P2" s="442"/>
      <c r="Q2" s="442"/>
      <c r="R2" s="442"/>
      <c r="S2" s="442"/>
      <c r="T2" s="442"/>
      <c r="U2" s="441">
        <v>0.18</v>
      </c>
      <c r="V2" s="443">
        <v>0.01</v>
      </c>
      <c r="W2" s="441">
        <v>49.57</v>
      </c>
      <c r="X2" s="444">
        <v>0</v>
      </c>
      <c r="Y2" s="444">
        <v>870.93600000000004</v>
      </c>
      <c r="Z2" s="444">
        <v>357.02050153395322</v>
      </c>
      <c r="AA2" s="445"/>
      <c r="AB2" s="442"/>
      <c r="AC2" s="446"/>
      <c r="AD2" s="446"/>
    </row>
    <row r="3" spans="1:30" ht="13.2" customHeight="1" thickBot="1" x14ac:dyDescent="0.35">
      <c r="A3" s="438" t="s">
        <v>1389</v>
      </c>
      <c r="B3" s="439">
        <v>43033</v>
      </c>
      <c r="C3" s="440" t="s">
        <v>1391</v>
      </c>
      <c r="D3" s="441" t="s">
        <v>195</v>
      </c>
      <c r="E3" s="440">
        <v>10.74</v>
      </c>
      <c r="F3" s="440">
        <v>1.3082643293904925</v>
      </c>
      <c r="G3" s="440">
        <v>9.9999999999999982</v>
      </c>
      <c r="H3" s="440">
        <v>1.2147244772192489</v>
      </c>
      <c r="I3" s="440">
        <v>9.2420000000000009</v>
      </c>
      <c r="J3" s="440">
        <v>4.6025688479369817</v>
      </c>
      <c r="K3" s="440">
        <v>8.243999999999998</v>
      </c>
      <c r="L3" s="440">
        <v>4.1725244157464232</v>
      </c>
      <c r="M3" s="442"/>
      <c r="N3" s="442"/>
      <c r="O3" s="442"/>
      <c r="P3" s="442"/>
      <c r="Q3" s="442"/>
      <c r="R3" s="442"/>
      <c r="S3" s="442"/>
      <c r="T3" s="442"/>
      <c r="U3" s="441">
        <v>1.9E-2</v>
      </c>
      <c r="V3" s="443">
        <v>0.01</v>
      </c>
      <c r="W3" s="447">
        <v>38.549999999999997</v>
      </c>
      <c r="X3" s="444">
        <v>2.25</v>
      </c>
      <c r="Y3" s="444">
        <v>730.09100000000012</v>
      </c>
      <c r="Z3" s="444">
        <v>336.9054700077026</v>
      </c>
      <c r="AA3" s="448"/>
      <c r="AB3" s="449"/>
      <c r="AC3" s="449"/>
      <c r="AD3" s="449"/>
    </row>
    <row r="4" spans="1:30" x14ac:dyDescent="0.3">
      <c r="A4" s="438" t="s">
        <v>1389</v>
      </c>
      <c r="B4" s="439">
        <v>43034</v>
      </c>
      <c r="C4" s="440" t="s">
        <v>1392</v>
      </c>
      <c r="D4" s="441" t="s">
        <v>195</v>
      </c>
      <c r="E4" s="440">
        <v>12.780000000000001</v>
      </c>
      <c r="F4" s="440">
        <v>1.7535994728304061</v>
      </c>
      <c r="G4" s="440">
        <v>11.5</v>
      </c>
      <c r="H4" s="440">
        <v>1.3597385369580708</v>
      </c>
      <c r="I4" s="440">
        <v>17.539000000000001</v>
      </c>
      <c r="J4" s="440">
        <v>7.8894295667613896</v>
      </c>
      <c r="K4" s="440">
        <v>15.001999999999999</v>
      </c>
      <c r="L4" s="440">
        <v>6.6136454899447648</v>
      </c>
      <c r="M4" s="442"/>
      <c r="N4" s="442"/>
      <c r="O4" s="442"/>
      <c r="P4" s="442"/>
      <c r="Q4" s="442"/>
      <c r="R4" s="442"/>
      <c r="S4" s="442"/>
      <c r="T4" s="442"/>
      <c r="U4" s="441">
        <v>0.03</v>
      </c>
      <c r="V4" s="443">
        <v>0.03</v>
      </c>
      <c r="W4" s="447">
        <v>23.41</v>
      </c>
      <c r="X4" s="444">
        <v>3.56</v>
      </c>
      <c r="Y4" s="444">
        <v>426.01500000000004</v>
      </c>
      <c r="Z4" s="444">
        <v>296.01767658367959</v>
      </c>
      <c r="AA4" s="450"/>
      <c r="AB4" s="451"/>
      <c r="AC4" s="451"/>
      <c r="AD4" s="451"/>
    </row>
    <row r="5" spans="1:30" x14ac:dyDescent="0.3">
      <c r="A5" s="452" t="s">
        <v>1393</v>
      </c>
      <c r="B5" s="453">
        <v>43033</v>
      </c>
      <c r="C5" s="452" t="s">
        <v>1394</v>
      </c>
      <c r="D5" s="454" t="s">
        <v>196</v>
      </c>
      <c r="E5" s="452">
        <v>20.100000000000001</v>
      </c>
      <c r="F5" s="449"/>
      <c r="G5" s="452">
        <v>17.399999999999999</v>
      </c>
      <c r="H5" s="455"/>
      <c r="I5" s="452">
        <v>72</v>
      </c>
      <c r="J5" s="455"/>
      <c r="K5" s="452">
        <v>63.84</v>
      </c>
      <c r="L5" s="455"/>
      <c r="M5" s="452" t="s">
        <v>213</v>
      </c>
      <c r="N5" s="452">
        <v>0.51</v>
      </c>
      <c r="O5" s="452">
        <v>0.67600000000000005</v>
      </c>
      <c r="P5" s="452"/>
      <c r="Q5" s="452">
        <v>0.70833333333333337</v>
      </c>
      <c r="R5" s="452">
        <v>0.93888888888888899</v>
      </c>
      <c r="S5" s="452">
        <v>2</v>
      </c>
      <c r="T5" s="452" t="s">
        <v>221</v>
      </c>
      <c r="U5" s="452">
        <v>0.14460868072683192</v>
      </c>
      <c r="V5" s="452">
        <v>3.3315836634000727E-3</v>
      </c>
      <c r="W5" s="452">
        <v>11.600707709813131</v>
      </c>
      <c r="X5" s="456">
        <v>1.1048293056964891</v>
      </c>
      <c r="Y5" s="35">
        <v>153.83000000000001</v>
      </c>
      <c r="Z5" s="418"/>
      <c r="AA5" s="457">
        <v>19.16</v>
      </c>
      <c r="AB5" s="457">
        <v>0</v>
      </c>
      <c r="AC5" s="458"/>
      <c r="AD5" s="458"/>
    </row>
    <row r="6" spans="1:30" x14ac:dyDescent="0.3">
      <c r="A6" s="457" t="s">
        <v>1393</v>
      </c>
      <c r="B6" s="459">
        <v>43033</v>
      </c>
      <c r="C6" s="457" t="s">
        <v>1395</v>
      </c>
      <c r="D6" s="460" t="s">
        <v>196</v>
      </c>
      <c r="E6" s="457">
        <v>23.2</v>
      </c>
      <c r="F6" s="451"/>
      <c r="G6" s="457">
        <v>21.3</v>
      </c>
      <c r="H6" s="458"/>
      <c r="I6" s="457">
        <v>110.15</v>
      </c>
      <c r="J6" s="458"/>
      <c r="K6" s="457">
        <v>102.16</v>
      </c>
      <c r="L6" s="458"/>
      <c r="M6" s="457" t="s">
        <v>213</v>
      </c>
      <c r="N6" s="457">
        <v>0.4</v>
      </c>
      <c r="O6" s="457">
        <v>0.76200000000000001</v>
      </c>
      <c r="P6" s="457"/>
      <c r="Q6" s="457">
        <v>0.36314117113027689</v>
      </c>
      <c r="R6" s="457">
        <v>0.69178393100317748</v>
      </c>
      <c r="S6" s="457">
        <v>1</v>
      </c>
      <c r="T6" s="457" t="s">
        <v>221</v>
      </c>
      <c r="U6" s="457">
        <v>0.18883620123330375</v>
      </c>
      <c r="V6" s="457">
        <v>5.6395894542459598E-3</v>
      </c>
      <c r="W6" s="457">
        <v>9.0049926403478135</v>
      </c>
      <c r="X6" s="456">
        <v>0.7203994112278238</v>
      </c>
      <c r="Y6" s="35">
        <v>109.05</v>
      </c>
      <c r="Z6" s="418"/>
      <c r="AA6" s="457">
        <v>12.72</v>
      </c>
      <c r="AB6" s="457">
        <v>0</v>
      </c>
      <c r="AC6" s="458"/>
      <c r="AD6" s="458"/>
    </row>
    <row r="7" spans="1:30" x14ac:dyDescent="0.3">
      <c r="A7" s="457" t="s">
        <v>1393</v>
      </c>
      <c r="B7" s="459">
        <v>43033</v>
      </c>
      <c r="C7" s="457" t="s">
        <v>1396</v>
      </c>
      <c r="D7" s="460" t="s">
        <v>196</v>
      </c>
      <c r="E7" s="457">
        <v>21</v>
      </c>
      <c r="F7" s="451"/>
      <c r="G7" s="457">
        <v>18.2</v>
      </c>
      <c r="H7" s="458"/>
      <c r="I7" s="457">
        <v>86.26</v>
      </c>
      <c r="J7" s="458"/>
      <c r="K7" s="457">
        <v>78.08</v>
      </c>
      <c r="L7" s="458"/>
      <c r="M7" s="457" t="s">
        <v>210</v>
      </c>
      <c r="N7" s="457">
        <v>4.1000000000000002E-2</v>
      </c>
      <c r="O7" s="457">
        <v>0.60099999999999998</v>
      </c>
      <c r="P7" s="457"/>
      <c r="Q7" s="457">
        <v>4.7530721075817302E-2</v>
      </c>
      <c r="R7" s="457">
        <v>0.69673081381868762</v>
      </c>
      <c r="S7" s="457">
        <v>1</v>
      </c>
      <c r="T7" s="457" t="s">
        <v>1340</v>
      </c>
      <c r="U7" s="457">
        <v>0.14198743726670784</v>
      </c>
      <c r="V7" s="457">
        <v>3.3808840515016543E-2</v>
      </c>
      <c r="W7" s="457">
        <v>6.1295706682201647</v>
      </c>
      <c r="X7" s="456">
        <v>0.94301087203387612</v>
      </c>
      <c r="Y7" s="35">
        <v>188.18</v>
      </c>
      <c r="Z7" s="418"/>
      <c r="AA7" s="457">
        <v>19.850000000000001</v>
      </c>
      <c r="AB7" s="457">
        <v>0</v>
      </c>
      <c r="AC7" s="457">
        <v>205.15942028985506</v>
      </c>
      <c r="AD7" s="461">
        <v>13.937177136430513</v>
      </c>
    </row>
    <row r="8" spans="1:30" x14ac:dyDescent="0.3">
      <c r="A8" s="457" t="s">
        <v>1393</v>
      </c>
      <c r="B8" s="459">
        <v>43033</v>
      </c>
      <c r="C8" s="457" t="s">
        <v>1397</v>
      </c>
      <c r="D8" s="460" t="s">
        <v>196</v>
      </c>
      <c r="E8" s="457">
        <v>23.5</v>
      </c>
      <c r="F8" s="451"/>
      <c r="G8" s="457">
        <v>20.100000000000001</v>
      </c>
      <c r="H8" s="458"/>
      <c r="I8" s="457">
        <v>108.72</v>
      </c>
      <c r="J8" s="458"/>
      <c r="K8" s="457">
        <v>92.25</v>
      </c>
      <c r="L8" s="458"/>
      <c r="M8" s="457" t="s">
        <v>210</v>
      </c>
      <c r="N8" s="457">
        <v>2.9000000000000001E-2</v>
      </c>
      <c r="O8" s="457">
        <v>0.752</v>
      </c>
      <c r="P8" s="457"/>
      <c r="Q8" s="457">
        <v>2.6674025018395883E-2</v>
      </c>
      <c r="R8" s="457">
        <v>0.69168506254598972</v>
      </c>
      <c r="S8" s="457">
        <v>0</v>
      </c>
      <c r="T8" s="457" t="s">
        <v>1340</v>
      </c>
      <c r="U8" s="457">
        <v>0.19341144785789474</v>
      </c>
      <c r="V8" s="457">
        <v>3.8951003114207169E-2</v>
      </c>
      <c r="W8" s="457">
        <v>3.7564664343407719</v>
      </c>
      <c r="X8" s="456">
        <v>0.86751876282737639</v>
      </c>
      <c r="Y8" s="35">
        <v>396.32</v>
      </c>
      <c r="Z8" s="418"/>
      <c r="AA8" s="457">
        <v>24.27</v>
      </c>
      <c r="AB8" s="457">
        <v>0</v>
      </c>
      <c r="AC8" s="457">
        <v>174.72463768115944</v>
      </c>
      <c r="AD8" s="461">
        <v>9.4280904158206411</v>
      </c>
    </row>
    <row r="9" spans="1:30" x14ac:dyDescent="0.3">
      <c r="A9" s="457" t="s">
        <v>1393</v>
      </c>
      <c r="B9" s="459">
        <v>43033</v>
      </c>
      <c r="C9" s="457" t="s">
        <v>1398</v>
      </c>
      <c r="D9" s="460" t="s">
        <v>196</v>
      </c>
      <c r="E9" s="457">
        <v>23</v>
      </c>
      <c r="F9" s="451"/>
      <c r="G9" s="457">
        <v>20.5</v>
      </c>
      <c r="H9" s="458"/>
      <c r="I9" s="457">
        <v>126.06</v>
      </c>
      <c r="J9" s="458"/>
      <c r="K9" s="457">
        <v>110.69</v>
      </c>
      <c r="L9" s="458"/>
      <c r="M9" s="457" t="s">
        <v>210</v>
      </c>
      <c r="N9" s="457">
        <v>2.7E-2</v>
      </c>
      <c r="O9" s="457">
        <v>0.93</v>
      </c>
      <c r="P9" s="457"/>
      <c r="Q9" s="457">
        <v>2.1418372203712521E-2</v>
      </c>
      <c r="R9" s="457">
        <v>0.73774393146120898</v>
      </c>
      <c r="S9" s="457">
        <v>1</v>
      </c>
      <c r="T9" s="457" t="s">
        <v>1340</v>
      </c>
      <c r="U9" s="457">
        <v>0.12844100676549122</v>
      </c>
      <c r="V9" s="457">
        <v>3.7347427147303124E-3</v>
      </c>
      <c r="W9" s="457">
        <v>9.8313101649018364</v>
      </c>
      <c r="X9" s="456">
        <v>0.85489653607842087</v>
      </c>
      <c r="Y9" s="35">
        <v>445.55</v>
      </c>
      <c r="Z9" s="418"/>
      <c r="AA9" s="457">
        <v>22</v>
      </c>
      <c r="AB9" s="457">
        <v>0</v>
      </c>
      <c r="AC9" s="457">
        <v>139.07246376811594</v>
      </c>
      <c r="AD9" s="461">
        <v>13.117343187228725</v>
      </c>
    </row>
    <row r="10" spans="1:30" x14ac:dyDescent="0.3">
      <c r="A10" s="457" t="s">
        <v>1393</v>
      </c>
      <c r="B10" s="459">
        <v>43033</v>
      </c>
      <c r="C10" s="457" t="s">
        <v>1399</v>
      </c>
      <c r="D10" s="460" t="s">
        <v>196</v>
      </c>
      <c r="E10" s="457">
        <v>22.5</v>
      </c>
      <c r="F10" s="451"/>
      <c r="G10" s="457">
        <v>19.600000000000001</v>
      </c>
      <c r="H10" s="458"/>
      <c r="I10" s="457">
        <v>103.48</v>
      </c>
      <c r="J10" s="458"/>
      <c r="K10" s="457">
        <v>94.26</v>
      </c>
      <c r="L10" s="458"/>
      <c r="M10" s="457" t="s">
        <v>213</v>
      </c>
      <c r="N10" s="457">
        <v>0.22</v>
      </c>
      <c r="O10" s="457">
        <v>0.91</v>
      </c>
      <c r="P10" s="457"/>
      <c r="Q10" s="457">
        <v>0.2126014688828759</v>
      </c>
      <c r="R10" s="457">
        <v>0.87939698492462304</v>
      </c>
      <c r="S10" s="457">
        <v>0</v>
      </c>
      <c r="T10" s="457" t="s">
        <v>221</v>
      </c>
      <c r="U10" s="457">
        <v>6.6317286324304031E-2</v>
      </c>
      <c r="V10" s="457">
        <v>6.0694667352320202E-3</v>
      </c>
      <c r="W10" s="457">
        <v>7.3935659323347078</v>
      </c>
      <c r="X10" s="456">
        <v>0.86983128615703131</v>
      </c>
      <c r="Y10" s="35">
        <v>285.31</v>
      </c>
      <c r="Z10" s="418"/>
      <c r="AA10" s="457">
        <v>23.11</v>
      </c>
      <c r="AB10" s="457">
        <v>0</v>
      </c>
      <c r="AC10" s="458"/>
      <c r="AD10" s="458"/>
    </row>
    <row r="11" spans="1:30" x14ac:dyDescent="0.3">
      <c r="A11" s="457" t="s">
        <v>1393</v>
      </c>
      <c r="B11" s="459">
        <v>43033</v>
      </c>
      <c r="C11" s="457" t="s">
        <v>1400</v>
      </c>
      <c r="D11" s="460" t="s">
        <v>196</v>
      </c>
      <c r="E11" s="457">
        <v>19.600000000000001</v>
      </c>
      <c r="F11" s="451"/>
      <c r="G11" s="457">
        <v>17.399999999999999</v>
      </c>
      <c r="H11" s="458"/>
      <c r="I11" s="457">
        <v>63.17</v>
      </c>
      <c r="J11" s="458"/>
      <c r="K11" s="457">
        <v>58.57</v>
      </c>
      <c r="L11" s="458"/>
      <c r="M11" s="457" t="s">
        <v>210</v>
      </c>
      <c r="N11" s="457">
        <v>3.1E-2</v>
      </c>
      <c r="O11" s="457">
        <v>0.57699999999999996</v>
      </c>
      <c r="P11" s="457"/>
      <c r="Q11" s="457">
        <v>4.9073927497229698E-2</v>
      </c>
      <c r="R11" s="457">
        <v>0.91340826341617842</v>
      </c>
      <c r="S11" s="457">
        <v>0</v>
      </c>
      <c r="T11" s="457" t="s">
        <v>1340</v>
      </c>
      <c r="U11" s="457">
        <v>0.1204984090489527</v>
      </c>
      <c r="V11" s="457">
        <v>3.7387769394385283E-3</v>
      </c>
      <c r="W11" s="457">
        <v>3.6877410609058474</v>
      </c>
      <c r="X11" s="456">
        <v>2.017567576055642</v>
      </c>
      <c r="Y11" s="35">
        <v>494.08</v>
      </c>
      <c r="Z11" s="418"/>
      <c r="AA11" s="457">
        <v>28.15</v>
      </c>
      <c r="AB11" s="457">
        <v>0</v>
      </c>
      <c r="AC11" s="457">
        <v>80.52</v>
      </c>
      <c r="AD11" s="462">
        <v>39.4</v>
      </c>
    </row>
    <row r="12" spans="1:30" x14ac:dyDescent="0.3">
      <c r="A12" s="457" t="s">
        <v>1393</v>
      </c>
      <c r="B12" s="459">
        <v>43033</v>
      </c>
      <c r="C12" s="457" t="s">
        <v>1401</v>
      </c>
      <c r="D12" s="460" t="s">
        <v>196</v>
      </c>
      <c r="E12" s="457">
        <v>21.2</v>
      </c>
      <c r="F12" s="451"/>
      <c r="G12" s="457">
        <v>19.5</v>
      </c>
      <c r="H12" s="458"/>
      <c r="I12" s="457">
        <v>73.66</v>
      </c>
      <c r="J12" s="458"/>
      <c r="K12" s="457">
        <v>66.010000000000005</v>
      </c>
      <c r="L12" s="458"/>
      <c r="M12" s="457" t="s">
        <v>213</v>
      </c>
      <c r="N12" s="457">
        <v>0.20100000000000001</v>
      </c>
      <c r="O12" s="457">
        <v>0.50700000000000001</v>
      </c>
      <c r="P12" s="457"/>
      <c r="Q12" s="457">
        <v>0.27287537333695361</v>
      </c>
      <c r="R12" s="457">
        <v>0.68829758349171877</v>
      </c>
      <c r="S12" s="457">
        <v>0</v>
      </c>
      <c r="T12" s="457" t="s">
        <v>221</v>
      </c>
      <c r="U12" s="457">
        <v>8.3785326014104877E-2</v>
      </c>
      <c r="V12" s="457">
        <v>8.1170678503961185E-3</v>
      </c>
      <c r="W12" s="457">
        <v>2.2097962505241218</v>
      </c>
      <c r="X12" s="456">
        <v>0.88391850020964879</v>
      </c>
      <c r="Y12" s="35">
        <v>608.05999999999995</v>
      </c>
      <c r="Z12" s="418"/>
      <c r="AA12" s="457">
        <v>26.91</v>
      </c>
      <c r="AB12" s="457">
        <v>0</v>
      </c>
      <c r="AC12" s="458"/>
      <c r="AD12" s="458"/>
    </row>
    <row r="13" spans="1:30" x14ac:dyDescent="0.3">
      <c r="A13" s="457" t="s">
        <v>1393</v>
      </c>
      <c r="B13" s="459">
        <v>43033</v>
      </c>
      <c r="C13" s="457" t="s">
        <v>1402</v>
      </c>
      <c r="D13" s="460" t="s">
        <v>196</v>
      </c>
      <c r="E13" s="457">
        <v>21</v>
      </c>
      <c r="F13" s="451"/>
      <c r="G13" s="457">
        <v>18.2</v>
      </c>
      <c r="H13" s="458"/>
      <c r="I13" s="457">
        <v>89.49</v>
      </c>
      <c r="J13" s="458"/>
      <c r="K13" s="457">
        <v>77.75</v>
      </c>
      <c r="L13" s="458"/>
      <c r="M13" s="457" t="s">
        <v>213</v>
      </c>
      <c r="N13" s="457">
        <v>0.23699999999999999</v>
      </c>
      <c r="O13" s="457">
        <v>0.92600000000000005</v>
      </c>
      <c r="P13" s="457"/>
      <c r="Q13" s="457">
        <v>0.26483405967147167</v>
      </c>
      <c r="R13" s="457">
        <v>1.0347524863113198</v>
      </c>
      <c r="S13" s="457">
        <v>1</v>
      </c>
      <c r="T13" s="457" t="s">
        <v>221</v>
      </c>
      <c r="U13" s="457">
        <v>0.11445926781209603</v>
      </c>
      <c r="V13" s="457">
        <v>1.1072994702578144E-2</v>
      </c>
      <c r="W13" s="457">
        <v>6.8557206272702089</v>
      </c>
      <c r="X13" s="456">
        <v>0.91409608363603001</v>
      </c>
      <c r="Y13" s="35">
        <v>1247.44</v>
      </c>
      <c r="Z13" s="418"/>
      <c r="AA13" s="457">
        <v>43.61</v>
      </c>
      <c r="AB13" s="457">
        <v>0</v>
      </c>
      <c r="AC13" s="458"/>
      <c r="AD13" s="458"/>
    </row>
    <row r="14" spans="1:30" x14ac:dyDescent="0.3">
      <c r="A14" s="457" t="s">
        <v>1393</v>
      </c>
      <c r="B14" s="459">
        <v>43033</v>
      </c>
      <c r="C14" s="457" t="s">
        <v>1403</v>
      </c>
      <c r="D14" s="460" t="s">
        <v>196</v>
      </c>
      <c r="E14" s="457">
        <v>20.3</v>
      </c>
      <c r="F14" s="451"/>
      <c r="G14" s="457">
        <v>17.600000000000001</v>
      </c>
      <c r="H14" s="458"/>
      <c r="I14" s="457">
        <v>63.25</v>
      </c>
      <c r="J14" s="458"/>
      <c r="K14" s="457">
        <v>57.56</v>
      </c>
      <c r="L14" s="458"/>
      <c r="M14" s="457" t="s">
        <v>210</v>
      </c>
      <c r="N14" s="457">
        <v>4.5999999999999999E-2</v>
      </c>
      <c r="O14" s="457">
        <v>0.57899999999999996</v>
      </c>
      <c r="P14" s="457"/>
      <c r="Q14" s="457">
        <v>7.2727272727272724E-2</v>
      </c>
      <c r="R14" s="457">
        <v>0.91541501976284578</v>
      </c>
      <c r="S14" s="457">
        <v>2</v>
      </c>
      <c r="T14" s="457" t="s">
        <v>1340</v>
      </c>
      <c r="U14" s="457">
        <v>0.13563885196980402</v>
      </c>
      <c r="V14" s="457">
        <v>1.6524345984168572E-2</v>
      </c>
      <c r="W14" s="457">
        <v>12.045445965287788</v>
      </c>
      <c r="X14" s="456">
        <v>1.7085387395823268</v>
      </c>
      <c r="Y14" s="35">
        <v>614.66999999999996</v>
      </c>
      <c r="Z14" s="418"/>
      <c r="AA14" s="457">
        <v>30.74</v>
      </c>
      <c r="AB14" s="457">
        <v>0</v>
      </c>
      <c r="AC14" s="457">
        <v>94.72</v>
      </c>
      <c r="AD14" s="423">
        <v>13.5</v>
      </c>
    </row>
    <row r="15" spans="1:30" x14ac:dyDescent="0.3">
      <c r="A15" s="457" t="s">
        <v>1393</v>
      </c>
      <c r="B15" s="459">
        <v>43033</v>
      </c>
      <c r="C15" s="457" t="s">
        <v>1404</v>
      </c>
      <c r="D15" s="460" t="s">
        <v>196</v>
      </c>
      <c r="E15" s="457">
        <v>21</v>
      </c>
      <c r="F15" s="451"/>
      <c r="G15" s="457">
        <v>18.5</v>
      </c>
      <c r="H15" s="458"/>
      <c r="I15" s="457">
        <v>77.25</v>
      </c>
      <c r="J15" s="458"/>
      <c r="K15" s="457">
        <v>73.150000000000006</v>
      </c>
      <c r="L15" s="458"/>
      <c r="M15" s="457" t="s">
        <v>210</v>
      </c>
      <c r="N15" s="457">
        <v>3.4000000000000002E-2</v>
      </c>
      <c r="O15" s="457">
        <v>0.65900000000000003</v>
      </c>
      <c r="P15" s="457"/>
      <c r="Q15" s="457">
        <v>4.4012944983818775E-2</v>
      </c>
      <c r="R15" s="457">
        <v>0.85307443365695801</v>
      </c>
      <c r="S15" s="457">
        <v>0</v>
      </c>
      <c r="T15" s="457" t="s">
        <v>1340</v>
      </c>
      <c r="U15" s="457">
        <v>0.10605731129911655</v>
      </c>
      <c r="V15" s="457">
        <v>1.4225364406414469E-2</v>
      </c>
      <c r="W15" s="457">
        <v>18.789046808825823</v>
      </c>
      <c r="X15" s="456">
        <v>2.7119653082229966</v>
      </c>
      <c r="Y15" s="35">
        <v>1369.54</v>
      </c>
      <c r="Z15" s="418"/>
      <c r="AA15" s="457">
        <v>48.54</v>
      </c>
      <c r="AB15" s="457">
        <v>1</v>
      </c>
      <c r="AC15" s="457">
        <v>191.25</v>
      </c>
      <c r="AD15" s="423">
        <v>9.8000000000000007</v>
      </c>
    </row>
    <row r="16" spans="1:30" x14ac:dyDescent="0.3">
      <c r="A16" s="457" t="s">
        <v>1393</v>
      </c>
      <c r="B16" s="459">
        <v>43033</v>
      </c>
      <c r="C16" s="457" t="s">
        <v>1405</v>
      </c>
      <c r="D16" s="460" t="s">
        <v>196</v>
      </c>
      <c r="E16" s="457">
        <v>20.399999999999999</v>
      </c>
      <c r="F16" s="451"/>
      <c r="G16" s="457">
        <v>18.3</v>
      </c>
      <c r="H16" s="458"/>
      <c r="I16" s="457">
        <v>73.52</v>
      </c>
      <c r="J16" s="458"/>
      <c r="K16" s="457">
        <v>65.92</v>
      </c>
      <c r="L16" s="458"/>
      <c r="M16" s="457" t="s">
        <v>210</v>
      </c>
      <c r="N16" s="457">
        <v>4.1000000000000002E-2</v>
      </c>
      <c r="O16" s="457">
        <v>0.54900000000000004</v>
      </c>
      <c r="P16" s="457"/>
      <c r="Q16" s="457">
        <v>5.5767138193688802E-2</v>
      </c>
      <c r="R16" s="457">
        <v>0.74673558215451585</v>
      </c>
      <c r="S16" s="457">
        <v>0</v>
      </c>
      <c r="T16" s="457" t="s">
        <v>1340</v>
      </c>
      <c r="U16" s="457">
        <v>0.13332277369290338</v>
      </c>
      <c r="V16" s="457">
        <v>3.6863529350532089E-2</v>
      </c>
      <c r="W16" s="457">
        <v>5.4156031630443735</v>
      </c>
      <c r="X16" s="456">
        <v>2.6800285234353072</v>
      </c>
      <c r="Y16" s="35">
        <v>440.66</v>
      </c>
      <c r="Z16" s="418"/>
      <c r="AA16" s="457">
        <v>18.190000000000001</v>
      </c>
      <c r="AB16" s="457">
        <v>0</v>
      </c>
      <c r="AC16" s="457">
        <v>65.739999999999995</v>
      </c>
      <c r="AD16" s="423">
        <v>0.4</v>
      </c>
    </row>
    <row r="17" spans="1:30" x14ac:dyDescent="0.3">
      <c r="A17" s="457" t="s">
        <v>1393</v>
      </c>
      <c r="B17" s="459">
        <v>43033</v>
      </c>
      <c r="C17" s="457" t="s">
        <v>1406</v>
      </c>
      <c r="D17" s="460" t="s">
        <v>196</v>
      </c>
      <c r="E17" s="457">
        <v>20.5</v>
      </c>
      <c r="F17" s="451"/>
      <c r="G17" s="457">
        <v>18.3</v>
      </c>
      <c r="H17" s="458"/>
      <c r="I17" s="457">
        <v>79.25</v>
      </c>
      <c r="J17" s="458"/>
      <c r="K17" s="457">
        <v>72.13</v>
      </c>
      <c r="L17" s="458"/>
      <c r="M17" s="457" t="s">
        <v>210</v>
      </c>
      <c r="N17" s="457">
        <v>3.2000000000000001E-2</v>
      </c>
      <c r="O17" s="457">
        <v>0.58099999999999996</v>
      </c>
      <c r="P17" s="457"/>
      <c r="Q17" s="457">
        <v>4.0378548895899057E-2</v>
      </c>
      <c r="R17" s="457">
        <v>0.73312302839116716</v>
      </c>
      <c r="S17" s="457">
        <v>0</v>
      </c>
      <c r="T17" s="457" t="s">
        <v>1340</v>
      </c>
      <c r="U17" s="457">
        <v>0.17446753300493634</v>
      </c>
      <c r="V17" s="457">
        <v>3.5941744530980084E-2</v>
      </c>
      <c r="W17" s="457">
        <v>6.0349240653871403</v>
      </c>
      <c r="X17" s="456">
        <v>0.92844985621340981</v>
      </c>
      <c r="Y17" s="35">
        <v>859.78</v>
      </c>
      <c r="Z17" s="418"/>
      <c r="AA17" s="457">
        <v>34.299999999999997</v>
      </c>
      <c r="AB17" s="457">
        <v>1</v>
      </c>
      <c r="AC17" s="457">
        <v>205.45</v>
      </c>
      <c r="AD17" s="423">
        <v>26.6</v>
      </c>
    </row>
    <row r="18" spans="1:30" x14ac:dyDescent="0.3">
      <c r="A18" s="457" t="s">
        <v>1393</v>
      </c>
      <c r="B18" s="459">
        <v>43033</v>
      </c>
      <c r="C18" s="457" t="s">
        <v>1407</v>
      </c>
      <c r="D18" s="460" t="s">
        <v>196</v>
      </c>
      <c r="E18" s="457">
        <v>20.5</v>
      </c>
      <c r="F18" s="451"/>
      <c r="G18" s="457">
        <v>17.2</v>
      </c>
      <c r="H18" s="458"/>
      <c r="I18" s="457">
        <v>71.17</v>
      </c>
      <c r="J18" s="458"/>
      <c r="K18" s="457">
        <v>67.819999999999993</v>
      </c>
      <c r="L18" s="458"/>
      <c r="M18" s="457" t="s">
        <v>210</v>
      </c>
      <c r="N18" s="457">
        <v>1.2E-2</v>
      </c>
      <c r="O18" s="457">
        <v>0.51400000000000001</v>
      </c>
      <c r="P18" s="457"/>
      <c r="Q18" s="457">
        <v>1.6861036953772657E-2</v>
      </c>
      <c r="R18" s="457">
        <v>0.72221441618659543</v>
      </c>
      <c r="S18" s="457">
        <v>0</v>
      </c>
      <c r="T18" s="457" t="s">
        <v>1340</v>
      </c>
      <c r="U18" s="457">
        <v>0.15457650554685654</v>
      </c>
      <c r="V18" s="457">
        <v>5.1014183354355612E-2</v>
      </c>
      <c r="W18" s="463">
        <v>56.635441229017779</v>
      </c>
      <c r="X18" s="464">
        <v>1.8568997124268165</v>
      </c>
      <c r="Y18" s="35">
        <v>640.64</v>
      </c>
      <c r="Z18" s="418"/>
      <c r="AA18" s="457">
        <v>37.229999999999997</v>
      </c>
      <c r="AB18" s="457">
        <v>3</v>
      </c>
      <c r="AC18" s="457">
        <v>170.09</v>
      </c>
      <c r="AD18" s="423">
        <v>0.4</v>
      </c>
    </row>
    <row r="19" spans="1:30" x14ac:dyDescent="0.3">
      <c r="A19" s="457" t="s">
        <v>1393</v>
      </c>
      <c r="B19" s="459">
        <v>43033</v>
      </c>
      <c r="C19" s="457" t="s">
        <v>1408</v>
      </c>
      <c r="D19" s="460" t="s">
        <v>196</v>
      </c>
      <c r="E19" s="457">
        <v>22.8</v>
      </c>
      <c r="F19" s="451"/>
      <c r="G19" s="457">
        <v>19.5</v>
      </c>
      <c r="H19" s="458"/>
      <c r="I19" s="457">
        <v>96.32</v>
      </c>
      <c r="J19" s="458"/>
      <c r="K19" s="457">
        <v>84.85</v>
      </c>
      <c r="L19" s="458"/>
      <c r="M19" s="457" t="s">
        <v>210</v>
      </c>
      <c r="N19" s="457">
        <v>7.0000000000000007E-2</v>
      </c>
      <c r="O19" s="457">
        <v>0.93</v>
      </c>
      <c r="P19" s="457"/>
      <c r="Q19" s="457">
        <v>7.2674418604651181E-2</v>
      </c>
      <c r="R19" s="457">
        <v>0.96553156146179409</v>
      </c>
      <c r="S19" s="457">
        <v>0</v>
      </c>
      <c r="T19" s="457" t="s">
        <v>1340</v>
      </c>
      <c r="U19" s="457">
        <v>0.13255333498833155</v>
      </c>
      <c r="V19" s="457">
        <v>4.6692653083028638E-3</v>
      </c>
      <c r="W19" s="457">
        <v>3.7137994248536246</v>
      </c>
      <c r="X19" s="456">
        <v>1.5161522663221714</v>
      </c>
      <c r="Y19" s="35">
        <v>861.35</v>
      </c>
      <c r="Z19" s="418"/>
      <c r="AA19" s="457">
        <v>35.04</v>
      </c>
      <c r="AB19" s="457">
        <v>0</v>
      </c>
      <c r="AC19" s="457">
        <v>119.65</v>
      </c>
      <c r="AD19" s="423">
        <v>20.100000000000001</v>
      </c>
    </row>
    <row r="20" spans="1:30" x14ac:dyDescent="0.3">
      <c r="A20" s="457" t="s">
        <v>1393</v>
      </c>
      <c r="B20" s="459">
        <v>43033</v>
      </c>
      <c r="C20" s="457" t="s">
        <v>1409</v>
      </c>
      <c r="D20" s="460" t="s">
        <v>196</v>
      </c>
      <c r="E20" s="457">
        <v>22.5</v>
      </c>
      <c r="F20" s="451"/>
      <c r="G20" s="457">
        <v>19.5</v>
      </c>
      <c r="H20" s="458"/>
      <c r="I20" s="457">
        <v>92.36</v>
      </c>
      <c r="J20" s="458"/>
      <c r="K20" s="457">
        <v>84.32</v>
      </c>
      <c r="L20" s="458"/>
      <c r="M20" s="457" t="s">
        <v>213</v>
      </c>
      <c r="N20" s="457">
        <v>0.25</v>
      </c>
      <c r="O20" s="457">
        <v>0.61</v>
      </c>
      <c r="P20" s="457"/>
      <c r="Q20" s="457">
        <v>0.27067994802945</v>
      </c>
      <c r="R20" s="457">
        <v>0.66045907319185793</v>
      </c>
      <c r="S20" s="457">
        <v>1</v>
      </c>
      <c r="T20" s="457" t="s">
        <v>221</v>
      </c>
      <c r="U20" s="457">
        <v>0.15580864812037215</v>
      </c>
      <c r="V20" s="457">
        <v>8.8025793242343785E-3</v>
      </c>
      <c r="W20" s="463">
        <v>43.327659956625631</v>
      </c>
      <c r="X20" s="464">
        <v>3.8654449957773367</v>
      </c>
      <c r="Y20" s="35">
        <v>505.75</v>
      </c>
      <c r="Z20" s="418"/>
      <c r="AA20" s="457">
        <v>26.85</v>
      </c>
      <c r="AB20" s="457">
        <v>1</v>
      </c>
      <c r="AC20" s="458"/>
      <c r="AD20" s="458"/>
    </row>
    <row r="21" spans="1:30" x14ac:dyDescent="0.3">
      <c r="A21" s="457" t="s">
        <v>1393</v>
      </c>
      <c r="B21" s="459">
        <v>43033</v>
      </c>
      <c r="C21" s="457" t="s">
        <v>1410</v>
      </c>
      <c r="D21" s="460" t="s">
        <v>196</v>
      </c>
      <c r="E21" s="457">
        <v>21.2</v>
      </c>
      <c r="F21" s="451"/>
      <c r="G21" s="457">
        <v>18.5</v>
      </c>
      <c r="H21" s="458"/>
      <c r="I21" s="457">
        <v>86.47</v>
      </c>
      <c r="J21" s="458"/>
      <c r="K21" s="457">
        <v>77.319999999999993</v>
      </c>
      <c r="L21" s="458"/>
      <c r="M21" s="457" t="s">
        <v>210</v>
      </c>
      <c r="N21" s="457">
        <v>0.04</v>
      </c>
      <c r="O21" s="457">
        <v>0.57399999999999995</v>
      </c>
      <c r="P21" s="457" t="s">
        <v>1411</v>
      </c>
      <c r="Q21" s="457">
        <v>4.6258818087197874E-2</v>
      </c>
      <c r="R21" s="457">
        <v>0.66381403955128948</v>
      </c>
      <c r="S21" s="457">
        <v>1</v>
      </c>
      <c r="T21" s="457" t="s">
        <v>1340</v>
      </c>
      <c r="U21" s="457">
        <v>0.12717017887933874</v>
      </c>
      <c r="V21" s="457">
        <v>1.1856717420373898E-2</v>
      </c>
      <c r="W21" s="457">
        <v>6.4991489934938436</v>
      </c>
      <c r="X21" s="456">
        <v>1.0720815488277571</v>
      </c>
      <c r="Y21" s="35">
        <v>568.64</v>
      </c>
      <c r="Z21" s="418"/>
      <c r="AA21" s="457">
        <v>30.32</v>
      </c>
      <c r="AB21" s="457">
        <v>0</v>
      </c>
      <c r="AC21" s="457">
        <v>83.42</v>
      </c>
      <c r="AD21" s="423">
        <v>0</v>
      </c>
    </row>
    <row r="22" spans="1:30" x14ac:dyDescent="0.3">
      <c r="A22" s="457" t="s">
        <v>1393</v>
      </c>
      <c r="B22" s="459">
        <v>43033</v>
      </c>
      <c r="C22" s="457" t="s">
        <v>1412</v>
      </c>
      <c r="D22" s="460" t="s">
        <v>196</v>
      </c>
      <c r="E22" s="457">
        <v>22.3</v>
      </c>
      <c r="F22" s="451"/>
      <c r="G22" s="457">
        <v>19.3</v>
      </c>
      <c r="H22" s="458"/>
      <c r="I22" s="457">
        <v>97.11</v>
      </c>
      <c r="J22" s="458"/>
      <c r="K22" s="457">
        <v>87.93</v>
      </c>
      <c r="L22" s="458"/>
      <c r="M22" s="457" t="s">
        <v>210</v>
      </c>
      <c r="N22" s="457">
        <v>6.5000000000000002E-2</v>
      </c>
      <c r="O22" s="457">
        <v>0.69499999999999995</v>
      </c>
      <c r="P22" s="457"/>
      <c r="Q22" s="457">
        <v>6.6934404283801874E-2</v>
      </c>
      <c r="R22" s="457">
        <v>0.71568324580372777</v>
      </c>
      <c r="S22" s="457">
        <v>0</v>
      </c>
      <c r="T22" s="457" t="s">
        <v>1340</v>
      </c>
      <c r="U22" s="457">
        <v>9.6952219850057808E-2</v>
      </c>
      <c r="V22" s="457">
        <v>1.2387977889300808E-2</v>
      </c>
      <c r="W22" s="457">
        <v>1.8568997124268123</v>
      </c>
      <c r="X22" s="456">
        <v>0</v>
      </c>
      <c r="Y22" s="35">
        <v>681.72</v>
      </c>
      <c r="Z22" s="418"/>
      <c r="AA22" s="457">
        <v>27.63</v>
      </c>
      <c r="AB22" s="457">
        <v>0</v>
      </c>
      <c r="AC22" s="457">
        <v>81.97</v>
      </c>
      <c r="AD22" s="423">
        <v>2</v>
      </c>
    </row>
    <row r="23" spans="1:30" x14ac:dyDescent="0.3">
      <c r="A23" s="457" t="s">
        <v>1393</v>
      </c>
      <c r="B23" s="459">
        <v>43033</v>
      </c>
      <c r="C23" s="457" t="s">
        <v>1413</v>
      </c>
      <c r="D23" s="460" t="s">
        <v>196</v>
      </c>
      <c r="E23" s="457">
        <v>23.9</v>
      </c>
      <c r="F23" s="451"/>
      <c r="G23" s="457">
        <v>20.5</v>
      </c>
      <c r="H23" s="458"/>
      <c r="I23" s="457">
        <v>98.16</v>
      </c>
      <c r="J23" s="458"/>
      <c r="K23" s="457">
        <v>89.95</v>
      </c>
      <c r="L23" s="458"/>
      <c r="M23" s="457" t="s">
        <v>213</v>
      </c>
      <c r="N23" s="457">
        <v>0.30099999999999999</v>
      </c>
      <c r="O23" s="457">
        <v>0.88700000000000001</v>
      </c>
      <c r="P23" s="457"/>
      <c r="Q23" s="457">
        <v>0.30664221678891607</v>
      </c>
      <c r="R23" s="457">
        <v>0.90362673186634068</v>
      </c>
      <c r="S23" s="457">
        <v>1</v>
      </c>
      <c r="T23" s="457" t="s">
        <v>221</v>
      </c>
      <c r="U23" s="457">
        <v>0.20439859764892843</v>
      </c>
      <c r="V23" s="457">
        <v>2.3878367520195776E-2</v>
      </c>
      <c r="W23" s="463">
        <v>33.424194823682626</v>
      </c>
      <c r="X23" s="464">
        <v>1.5161522663221705</v>
      </c>
      <c r="Y23" s="35">
        <v>688.13</v>
      </c>
      <c r="Z23" s="418"/>
      <c r="AA23" s="457">
        <v>32.79</v>
      </c>
      <c r="AB23" s="457">
        <v>0</v>
      </c>
      <c r="AC23" s="458"/>
      <c r="AD23" s="458"/>
    </row>
    <row r="24" spans="1:30" x14ac:dyDescent="0.3">
      <c r="A24" s="457" t="s">
        <v>1393</v>
      </c>
      <c r="B24" s="459">
        <v>43033</v>
      </c>
      <c r="C24" s="457" t="s">
        <v>1414</v>
      </c>
      <c r="D24" s="460" t="s">
        <v>196</v>
      </c>
      <c r="E24" s="457">
        <v>23.2</v>
      </c>
      <c r="F24" s="451"/>
      <c r="G24" s="457">
        <v>20.399999999999999</v>
      </c>
      <c r="H24" s="458"/>
      <c r="I24" s="457">
        <v>107.77</v>
      </c>
      <c r="J24" s="458"/>
      <c r="K24" s="457">
        <v>97.05</v>
      </c>
      <c r="L24" s="458"/>
      <c r="M24" s="457" t="s">
        <v>210</v>
      </c>
      <c r="N24" s="457">
        <v>4.9000000000000002E-2</v>
      </c>
      <c r="O24" s="457">
        <v>0.82199999999999995</v>
      </c>
      <c r="P24" s="457"/>
      <c r="Q24" s="457">
        <v>4.5467198663821103E-2</v>
      </c>
      <c r="R24" s="457">
        <v>0.76273545513593755</v>
      </c>
      <c r="S24" s="457">
        <v>1</v>
      </c>
      <c r="T24" s="457" t="s">
        <v>1340</v>
      </c>
      <c r="U24" s="457">
        <v>0.14949595082496378</v>
      </c>
      <c r="V24" s="457">
        <v>1.2332908673219518E-2</v>
      </c>
      <c r="W24" s="457">
        <v>11.605623202667578</v>
      </c>
      <c r="X24" s="456">
        <v>0.9284498562134047</v>
      </c>
      <c r="Y24" s="35">
        <v>569.23</v>
      </c>
      <c r="Z24" s="418"/>
      <c r="AA24" s="457">
        <v>29.98</v>
      </c>
      <c r="AB24" s="457">
        <v>0</v>
      </c>
      <c r="AC24" s="457">
        <v>174.72</v>
      </c>
      <c r="AD24" s="423">
        <v>27.5</v>
      </c>
    </row>
    <row r="25" spans="1:30" x14ac:dyDescent="0.3">
      <c r="A25" s="457" t="s">
        <v>1393</v>
      </c>
      <c r="B25" s="459">
        <v>43033</v>
      </c>
      <c r="C25" s="457" t="s">
        <v>1415</v>
      </c>
      <c r="D25" s="460" t="s">
        <v>196</v>
      </c>
      <c r="E25" s="457">
        <v>22.2</v>
      </c>
      <c r="F25" s="451"/>
      <c r="G25" s="457">
        <v>20.3</v>
      </c>
      <c r="H25" s="458"/>
      <c r="I25" s="457">
        <v>104.5</v>
      </c>
      <c r="J25" s="458"/>
      <c r="K25" s="457">
        <v>92.01</v>
      </c>
      <c r="L25" s="458"/>
      <c r="M25" s="457" t="s">
        <v>210</v>
      </c>
      <c r="N25" s="457">
        <v>7.5999999999999998E-2</v>
      </c>
      <c r="O25" s="457">
        <v>0.76400000000000001</v>
      </c>
      <c r="P25" s="457"/>
      <c r="Q25" s="457">
        <v>7.2727272727272724E-2</v>
      </c>
      <c r="R25" s="457">
        <v>0.73110047846889958</v>
      </c>
      <c r="S25" s="457">
        <v>0</v>
      </c>
      <c r="T25" s="457" t="s">
        <v>1340</v>
      </c>
      <c r="U25" s="457">
        <v>0.13383712323695418</v>
      </c>
      <c r="V25" s="457">
        <v>2.4752392287248789E-2</v>
      </c>
      <c r="W25" s="457">
        <v>2.9007187943128927</v>
      </c>
      <c r="X25" s="456">
        <v>0.82877679837511142</v>
      </c>
      <c r="Y25" s="35">
        <v>659.31</v>
      </c>
      <c r="Z25" s="418"/>
      <c r="AA25" s="457">
        <v>28.85</v>
      </c>
      <c r="AB25" s="457">
        <v>0</v>
      </c>
      <c r="AC25" s="457">
        <v>210.96</v>
      </c>
      <c r="AD25" s="423">
        <v>7.4</v>
      </c>
    </row>
    <row r="26" spans="1:30" x14ac:dyDescent="0.3">
      <c r="A26" s="457" t="s">
        <v>1393</v>
      </c>
      <c r="B26" s="459">
        <v>43033</v>
      </c>
      <c r="C26" s="457" t="s">
        <v>1416</v>
      </c>
      <c r="D26" s="460" t="s">
        <v>196</v>
      </c>
      <c r="E26" s="457">
        <v>22.5</v>
      </c>
      <c r="F26" s="451"/>
      <c r="G26" s="457">
        <v>19.2</v>
      </c>
      <c r="H26" s="458"/>
      <c r="I26" s="457">
        <v>104.5</v>
      </c>
      <c r="J26" s="458"/>
      <c r="K26" s="457">
        <v>94.26</v>
      </c>
      <c r="L26" s="458"/>
      <c r="M26" s="457" t="s">
        <v>210</v>
      </c>
      <c r="N26" s="457">
        <v>5.3999999999999999E-2</v>
      </c>
      <c r="O26" s="457">
        <v>1.1339999999999999</v>
      </c>
      <c r="P26" s="457"/>
      <c r="Q26" s="457">
        <v>5.1674641148325359E-2</v>
      </c>
      <c r="R26" s="457">
        <v>1.0851674641148326</v>
      </c>
      <c r="S26" s="457">
        <v>1</v>
      </c>
      <c r="T26" s="457" t="s">
        <v>1340</v>
      </c>
      <c r="U26" s="457">
        <v>0.20380343420306243</v>
      </c>
      <c r="V26" s="457">
        <v>5.51779327461105E-3</v>
      </c>
      <c r="W26" s="457">
        <v>3.9362648791101904</v>
      </c>
      <c r="X26" s="456">
        <v>0.97397296609540263</v>
      </c>
      <c r="Y26" s="35">
        <v>771.1</v>
      </c>
      <c r="Z26" s="418"/>
      <c r="AA26" s="457">
        <v>39.17</v>
      </c>
      <c r="AB26" s="457">
        <v>1</v>
      </c>
      <c r="AC26" s="457">
        <v>139.94</v>
      </c>
      <c r="AD26" s="423">
        <v>3.7</v>
      </c>
    </row>
    <row r="27" spans="1:30" x14ac:dyDescent="0.3">
      <c r="A27" s="457" t="s">
        <v>1393</v>
      </c>
      <c r="B27" s="459">
        <v>43033</v>
      </c>
      <c r="C27" s="457" t="s">
        <v>1417</v>
      </c>
      <c r="D27" s="460" t="s">
        <v>196</v>
      </c>
      <c r="E27" s="457">
        <v>22.5</v>
      </c>
      <c r="F27" s="451"/>
      <c r="G27" s="457">
        <v>20.2</v>
      </c>
      <c r="H27" s="458"/>
      <c r="I27" s="457">
        <v>104.3</v>
      </c>
      <c r="J27" s="458"/>
      <c r="K27" s="457">
        <v>91.66</v>
      </c>
      <c r="L27" s="458"/>
      <c r="M27" s="457" t="s">
        <v>213</v>
      </c>
      <c r="N27" s="457">
        <v>0.30599999999999999</v>
      </c>
      <c r="O27" s="457">
        <v>0.76500000000000001</v>
      </c>
      <c r="P27" s="457"/>
      <c r="Q27" s="457">
        <v>0.29338446788111217</v>
      </c>
      <c r="R27" s="457">
        <v>0.73346116970278041</v>
      </c>
      <c r="S27" s="457">
        <v>0</v>
      </c>
      <c r="T27" s="457" t="s">
        <v>221</v>
      </c>
      <c r="U27" s="457">
        <v>0.11273641626064013</v>
      </c>
      <c r="V27" s="457">
        <v>3.334305498628167E-3</v>
      </c>
      <c r="W27" s="457">
        <v>15.94134663679317</v>
      </c>
      <c r="X27" s="456">
        <v>0.96881481810501757</v>
      </c>
      <c r="Y27" s="35">
        <v>847.34</v>
      </c>
      <c r="Z27" s="418"/>
      <c r="AA27" s="457">
        <v>36.520000000000003</v>
      </c>
      <c r="AB27" s="457">
        <v>0</v>
      </c>
      <c r="AC27" s="458"/>
      <c r="AD27" s="458"/>
    </row>
    <row r="28" spans="1:30" x14ac:dyDescent="0.3">
      <c r="A28" s="457" t="s">
        <v>1393</v>
      </c>
      <c r="B28" s="459">
        <v>43033</v>
      </c>
      <c r="C28" s="457" t="s">
        <v>1418</v>
      </c>
      <c r="D28" s="460" t="s">
        <v>196</v>
      </c>
      <c r="E28" s="457">
        <v>24.4</v>
      </c>
      <c r="F28" s="451"/>
      <c r="G28" s="457">
        <v>21.3</v>
      </c>
      <c r="H28" s="458"/>
      <c r="I28" s="457">
        <v>126.96</v>
      </c>
      <c r="J28" s="458"/>
      <c r="K28" s="457">
        <v>114.59</v>
      </c>
      <c r="L28" s="458"/>
      <c r="M28" s="457" t="s">
        <v>210</v>
      </c>
      <c r="N28" s="457">
        <v>7.6999999999999999E-2</v>
      </c>
      <c r="O28" s="457">
        <v>1.052</v>
      </c>
      <c r="P28" s="457"/>
      <c r="Q28" s="457">
        <v>6.0649023314429749E-2</v>
      </c>
      <c r="R28" s="457">
        <v>0.82860743541272852</v>
      </c>
      <c r="S28" s="457">
        <v>2</v>
      </c>
      <c r="T28" s="457" t="s">
        <v>1340</v>
      </c>
      <c r="U28" s="457">
        <v>0.13378981445280982</v>
      </c>
      <c r="V28" s="457">
        <v>1.6792147450689229E-2</v>
      </c>
      <c r="W28" s="457">
        <v>3.294764412889208</v>
      </c>
      <c r="X28" s="456">
        <v>1.4019985611426766</v>
      </c>
      <c r="Y28" s="35">
        <v>243.14</v>
      </c>
      <c r="Z28" s="418"/>
      <c r="AA28" s="457">
        <v>15.1</v>
      </c>
      <c r="AB28" s="457">
        <v>0</v>
      </c>
      <c r="AC28" s="457">
        <v>183.13</v>
      </c>
      <c r="AD28" s="423">
        <v>9</v>
      </c>
    </row>
    <row r="29" spans="1:30" x14ac:dyDescent="0.3">
      <c r="A29" s="457" t="s">
        <v>1393</v>
      </c>
      <c r="B29" s="459">
        <v>43033</v>
      </c>
      <c r="C29" s="457" t="s">
        <v>1419</v>
      </c>
      <c r="D29" s="460" t="s">
        <v>196</v>
      </c>
      <c r="E29" s="457">
        <v>25</v>
      </c>
      <c r="F29" s="451"/>
      <c r="G29" s="457">
        <v>23.8</v>
      </c>
      <c r="H29" s="458"/>
      <c r="I29" s="457">
        <v>133.56</v>
      </c>
      <c r="J29" s="458"/>
      <c r="K29" s="457">
        <v>127.26</v>
      </c>
      <c r="L29" s="458"/>
      <c r="M29" s="457" t="s">
        <v>213</v>
      </c>
      <c r="N29" s="457">
        <v>0.49099999999999999</v>
      </c>
      <c r="O29" s="457">
        <v>1.379</v>
      </c>
      <c r="P29" s="457"/>
      <c r="Q29" s="457">
        <v>0.36762503743635822</v>
      </c>
      <c r="R29" s="457">
        <v>1.0324947589098532</v>
      </c>
      <c r="S29" s="457">
        <v>0</v>
      </c>
      <c r="T29" s="457" t="s">
        <v>221</v>
      </c>
      <c r="U29" s="457">
        <v>0.18391473898727279</v>
      </c>
      <c r="V29" s="457">
        <v>1.0863961016268308E-2</v>
      </c>
      <c r="W29" s="457">
        <v>10.774098378876459</v>
      </c>
      <c r="X29" s="456">
        <v>1.6575535967502284</v>
      </c>
      <c r="Y29" s="35">
        <v>1060.22</v>
      </c>
      <c r="Z29" s="418"/>
      <c r="AA29" s="457">
        <v>41.96</v>
      </c>
      <c r="AB29" s="457">
        <v>0</v>
      </c>
      <c r="AC29" s="458"/>
      <c r="AD29" s="458"/>
    </row>
    <row r="30" spans="1:30" x14ac:dyDescent="0.3">
      <c r="A30" s="457" t="s">
        <v>1393</v>
      </c>
      <c r="B30" s="459">
        <v>43033</v>
      </c>
      <c r="C30" s="457" t="s">
        <v>1420</v>
      </c>
      <c r="D30" s="460" t="s">
        <v>196</v>
      </c>
      <c r="E30" s="457">
        <v>26.1</v>
      </c>
      <c r="F30" s="451"/>
      <c r="G30" s="457">
        <v>24.2</v>
      </c>
      <c r="H30" s="458"/>
      <c r="I30" s="457">
        <v>150.66999999999999</v>
      </c>
      <c r="J30" s="458"/>
      <c r="K30" s="457">
        <v>122.19</v>
      </c>
      <c r="L30" s="458"/>
      <c r="M30" s="457" t="s">
        <v>213</v>
      </c>
      <c r="N30" s="457">
        <v>0.56000000000000005</v>
      </c>
      <c r="O30" s="457">
        <v>1.24</v>
      </c>
      <c r="P30" s="457"/>
      <c r="Q30" s="457">
        <v>0.37167319307094981</v>
      </c>
      <c r="R30" s="457">
        <v>0.82299064179996029</v>
      </c>
      <c r="S30" s="457">
        <v>2</v>
      </c>
      <c r="T30" s="457" t="s">
        <v>221</v>
      </c>
      <c r="U30" s="457">
        <v>0.22018159948776633</v>
      </c>
      <c r="V30" s="457">
        <v>1.0950897934989403E-2</v>
      </c>
      <c r="W30" s="457">
        <v>10.95846350778209</v>
      </c>
      <c r="X30" s="456">
        <v>2.2062556039656216</v>
      </c>
      <c r="Y30" s="465"/>
      <c r="Z30" s="418"/>
      <c r="AA30" s="458"/>
      <c r="AB30" s="458"/>
      <c r="AC30" s="458"/>
      <c r="AD30" s="458"/>
    </row>
    <row r="31" spans="1:30" x14ac:dyDescent="0.3">
      <c r="A31" s="457" t="s">
        <v>1393</v>
      </c>
      <c r="B31" s="459">
        <v>43033</v>
      </c>
      <c r="C31" s="457" t="s">
        <v>1421</v>
      </c>
      <c r="D31" s="460" t="s">
        <v>196</v>
      </c>
      <c r="E31" s="457">
        <v>23.3</v>
      </c>
      <c r="F31" s="451"/>
      <c r="G31" s="457">
        <v>21.3</v>
      </c>
      <c r="H31" s="458"/>
      <c r="I31" s="457">
        <v>114.9</v>
      </c>
      <c r="J31" s="458"/>
      <c r="K31" s="457">
        <v>109.8</v>
      </c>
      <c r="L31" s="458"/>
      <c r="M31" s="457" t="s">
        <v>210</v>
      </c>
      <c r="N31" s="457">
        <v>7.8E-2</v>
      </c>
      <c r="O31" s="457">
        <v>0.629</v>
      </c>
      <c r="P31" s="457"/>
      <c r="Q31" s="457">
        <v>6.7885117493472577E-2</v>
      </c>
      <c r="R31" s="457">
        <v>0.5474325500435161</v>
      </c>
      <c r="S31" s="457">
        <v>2</v>
      </c>
      <c r="T31" s="457" t="s">
        <v>221</v>
      </c>
      <c r="U31" s="457">
        <v>0.15521754702277818</v>
      </c>
      <c r="V31" s="457">
        <v>3.9977343861328932E-3</v>
      </c>
      <c r="W31" s="457">
        <v>4.8583467490954853</v>
      </c>
      <c r="X31" s="456">
        <v>1.9433386996381956</v>
      </c>
      <c r="Y31" s="35">
        <v>511.04</v>
      </c>
      <c r="Z31" s="418"/>
      <c r="AA31" s="457">
        <v>23.99</v>
      </c>
      <c r="AB31" s="457">
        <v>0</v>
      </c>
      <c r="AC31" s="457">
        <v>209.8</v>
      </c>
      <c r="AD31" s="423">
        <v>1.6</v>
      </c>
    </row>
    <row r="32" spans="1:30" x14ac:dyDescent="0.3">
      <c r="A32" s="457" t="s">
        <v>1393</v>
      </c>
      <c r="B32" s="459">
        <v>43033</v>
      </c>
      <c r="C32" s="457" t="s">
        <v>1422</v>
      </c>
      <c r="D32" s="460" t="s">
        <v>196</v>
      </c>
      <c r="E32" s="457">
        <v>26.2</v>
      </c>
      <c r="F32" s="451"/>
      <c r="G32" s="457">
        <v>23.4</v>
      </c>
      <c r="H32" s="458"/>
      <c r="I32" s="457">
        <v>157.5</v>
      </c>
      <c r="J32" s="458"/>
      <c r="K32" s="457">
        <v>133.19999999999999</v>
      </c>
      <c r="L32" s="458"/>
      <c r="M32" s="457" t="s">
        <v>210</v>
      </c>
      <c r="N32" s="457">
        <v>0.13600000000000001</v>
      </c>
      <c r="O32" s="457">
        <v>1.224</v>
      </c>
      <c r="P32" s="457"/>
      <c r="Q32" s="457">
        <v>8.6349206349206356E-2</v>
      </c>
      <c r="R32" s="457">
        <v>0.77714285714285714</v>
      </c>
      <c r="S32" s="457">
        <v>1</v>
      </c>
      <c r="T32" s="457" t="s">
        <v>1340</v>
      </c>
      <c r="U32" s="457">
        <v>0.10185092646547328</v>
      </c>
      <c r="V32" s="457">
        <v>1.4311356722669548E-2</v>
      </c>
      <c r="W32" s="457">
        <v>6.647657671154791</v>
      </c>
      <c r="X32" s="456">
        <v>1.0965791274061953</v>
      </c>
      <c r="Y32" s="465"/>
      <c r="Z32" s="418"/>
      <c r="AA32" s="458"/>
      <c r="AB32" s="458"/>
      <c r="AC32" s="457">
        <v>106.03</v>
      </c>
      <c r="AD32" s="423">
        <v>0</v>
      </c>
    </row>
    <row r="33" spans="1:30" x14ac:dyDescent="0.3">
      <c r="A33" s="457" t="s">
        <v>1393</v>
      </c>
      <c r="B33" s="459">
        <v>43033</v>
      </c>
      <c r="C33" s="457" t="s">
        <v>1423</v>
      </c>
      <c r="D33" s="460" t="s">
        <v>196</v>
      </c>
      <c r="E33" s="457">
        <v>22.5</v>
      </c>
      <c r="F33" s="451"/>
      <c r="G33" s="457">
        <v>20.100000000000001</v>
      </c>
      <c r="H33" s="458"/>
      <c r="I33" s="457">
        <v>77.430000000000007</v>
      </c>
      <c r="J33" s="458"/>
      <c r="K33" s="457">
        <v>66.84</v>
      </c>
      <c r="L33" s="458"/>
      <c r="M33" s="457" t="s">
        <v>210</v>
      </c>
      <c r="N33" s="457">
        <v>0.06</v>
      </c>
      <c r="O33" s="457">
        <v>0.89300000000000002</v>
      </c>
      <c r="P33" s="457"/>
      <c r="Q33" s="457">
        <v>7.7489345215032923E-2</v>
      </c>
      <c r="R33" s="457">
        <v>1.1532997546170733</v>
      </c>
      <c r="S33" s="457">
        <v>1</v>
      </c>
      <c r="T33" s="457" t="s">
        <v>1340</v>
      </c>
      <c r="U33" s="457">
        <v>0.20060394256777123</v>
      </c>
      <c r="V33" s="457">
        <v>1.946461124646337E-2</v>
      </c>
      <c r="W33" s="457">
        <v>3.8228503356110823</v>
      </c>
      <c r="X33" s="456">
        <v>1.5606721142124289</v>
      </c>
      <c r="Y33" s="35">
        <v>526.64</v>
      </c>
      <c r="Z33" s="418"/>
      <c r="AA33" s="457">
        <v>33.33</v>
      </c>
      <c r="AB33" s="457">
        <v>0</v>
      </c>
      <c r="AC33" s="457">
        <v>185.2</v>
      </c>
      <c r="AD33" s="423">
        <v>16</v>
      </c>
    </row>
    <row r="34" spans="1:30" x14ac:dyDescent="0.3">
      <c r="A34" s="457" t="s">
        <v>1393</v>
      </c>
      <c r="B34" s="459">
        <v>43033</v>
      </c>
      <c r="C34" s="457" t="s">
        <v>1424</v>
      </c>
      <c r="D34" s="460" t="s">
        <v>196</v>
      </c>
      <c r="E34" s="457">
        <v>22</v>
      </c>
      <c r="F34" s="451"/>
      <c r="G34" s="457">
        <v>20</v>
      </c>
      <c r="H34" s="458"/>
      <c r="I34" s="457">
        <v>89.2</v>
      </c>
      <c r="J34" s="458"/>
      <c r="K34" s="457">
        <v>79.03</v>
      </c>
      <c r="L34" s="458"/>
      <c r="M34" s="457" t="s">
        <v>210</v>
      </c>
      <c r="N34" s="457">
        <v>0.05</v>
      </c>
      <c r="O34" s="457">
        <v>0.76</v>
      </c>
      <c r="P34" s="457"/>
      <c r="Q34" s="457">
        <v>5.605381165919282E-2</v>
      </c>
      <c r="R34" s="457">
        <v>0.85201793721973096</v>
      </c>
      <c r="S34" s="457">
        <v>0</v>
      </c>
      <c r="T34" s="457" t="s">
        <v>1340</v>
      </c>
      <c r="U34" s="457">
        <v>0.12538414136290382</v>
      </c>
      <c r="V34" s="457">
        <v>9.2651404426082121E-3</v>
      </c>
      <c r="W34" s="457">
        <v>6.5957099753650663</v>
      </c>
      <c r="X34" s="456">
        <v>1.3463436609191142</v>
      </c>
      <c r="Y34" s="35">
        <v>706.54</v>
      </c>
      <c r="Z34" s="418"/>
      <c r="AA34" s="457">
        <v>36.44</v>
      </c>
      <c r="AB34" s="457">
        <v>0</v>
      </c>
      <c r="AC34" s="457">
        <v>193</v>
      </c>
      <c r="AD34" s="423">
        <v>10.7</v>
      </c>
    </row>
    <row r="35" spans="1:30" x14ac:dyDescent="0.3">
      <c r="A35" s="457" t="s">
        <v>1393</v>
      </c>
      <c r="B35" s="459">
        <v>43033</v>
      </c>
      <c r="C35" s="457" t="s">
        <v>1425</v>
      </c>
      <c r="D35" s="460" t="s">
        <v>196</v>
      </c>
      <c r="E35" s="457">
        <v>21.5</v>
      </c>
      <c r="F35" s="451"/>
      <c r="G35" s="457">
        <v>19.5</v>
      </c>
      <c r="H35" s="458"/>
      <c r="I35" s="457">
        <v>74.67</v>
      </c>
      <c r="J35" s="458"/>
      <c r="K35" s="457">
        <v>67.040000000000006</v>
      </c>
      <c r="L35" s="458"/>
      <c r="M35" s="457" t="s">
        <v>213</v>
      </c>
      <c r="N35" s="457">
        <v>0.22700000000000001</v>
      </c>
      <c r="O35" s="457">
        <v>0.86399999999999999</v>
      </c>
      <c r="P35" s="457"/>
      <c r="Q35" s="457">
        <v>0.30400428552296771</v>
      </c>
      <c r="R35" s="457">
        <v>1.1570912012856569</v>
      </c>
      <c r="S35" s="457">
        <v>1</v>
      </c>
      <c r="T35" s="457" t="s">
        <v>221</v>
      </c>
      <c r="U35" s="457">
        <v>0.21118367822587245</v>
      </c>
      <c r="V35" s="457">
        <v>3.600968080522006E-2</v>
      </c>
      <c r="W35" s="463">
        <v>53.178100903772837</v>
      </c>
      <c r="X35" s="464">
        <v>3.1331787904168591</v>
      </c>
      <c r="Y35" s="35">
        <v>528.04999999999995</v>
      </c>
      <c r="Z35" s="418"/>
      <c r="AA35" s="457">
        <v>28.14</v>
      </c>
      <c r="AB35" s="457">
        <v>1</v>
      </c>
      <c r="AC35" s="458"/>
      <c r="AD35" s="458"/>
    </row>
    <row r="36" spans="1:30" x14ac:dyDescent="0.3">
      <c r="A36" s="457" t="s">
        <v>1393</v>
      </c>
      <c r="B36" s="459">
        <v>43033</v>
      </c>
      <c r="C36" s="457" t="s">
        <v>1426</v>
      </c>
      <c r="D36" s="460" t="s">
        <v>196</v>
      </c>
      <c r="E36" s="457">
        <v>21.1</v>
      </c>
      <c r="F36" s="451"/>
      <c r="G36" s="457">
        <v>19.399999999999999</v>
      </c>
      <c r="H36" s="458"/>
      <c r="I36" s="457">
        <v>83.78</v>
      </c>
      <c r="J36" s="458"/>
      <c r="K36" s="457">
        <v>73.25</v>
      </c>
      <c r="L36" s="458"/>
      <c r="M36" s="457" t="s">
        <v>213</v>
      </c>
      <c r="N36" s="457">
        <v>0.17100000000000001</v>
      </c>
      <c r="O36" s="457">
        <v>1.0069999999999999</v>
      </c>
      <c r="P36" s="457" t="s">
        <v>1411</v>
      </c>
      <c r="Q36" s="457">
        <v>0.20410599188350442</v>
      </c>
      <c r="R36" s="457">
        <v>1.2019575077584148</v>
      </c>
      <c r="S36" s="457">
        <v>1</v>
      </c>
      <c r="T36" s="457" t="s">
        <v>221</v>
      </c>
      <c r="U36" s="457">
        <v>0.27862614556626264</v>
      </c>
      <c r="V36" s="457">
        <v>1.8620694336532736E-2</v>
      </c>
      <c r="W36" s="457">
        <v>10.44427321040901</v>
      </c>
      <c r="X36" s="456">
        <v>1.228738024753997</v>
      </c>
      <c r="Y36" s="35">
        <v>371.46</v>
      </c>
      <c r="Z36" s="418"/>
      <c r="AA36" s="457">
        <v>26.39</v>
      </c>
      <c r="AB36" s="457">
        <v>0</v>
      </c>
      <c r="AC36" s="458"/>
      <c r="AD36" s="458"/>
    </row>
    <row r="37" spans="1:30" x14ac:dyDescent="0.3">
      <c r="A37" s="457" t="s">
        <v>1427</v>
      </c>
      <c r="B37" s="466">
        <v>43357</v>
      </c>
      <c r="C37" s="457" t="s">
        <v>1428</v>
      </c>
      <c r="D37" s="460" t="s">
        <v>196</v>
      </c>
      <c r="E37" s="457">
        <v>18.5</v>
      </c>
      <c r="F37" s="451"/>
      <c r="G37" s="457"/>
      <c r="H37" s="458"/>
      <c r="I37" s="457">
        <v>51.31</v>
      </c>
      <c r="J37" s="458"/>
      <c r="K37" s="457"/>
      <c r="L37" s="458"/>
      <c r="M37" s="457" t="s">
        <v>213</v>
      </c>
      <c r="N37" s="457">
        <v>0.152</v>
      </c>
      <c r="O37" s="457">
        <v>0.42499999999999999</v>
      </c>
      <c r="P37" s="457"/>
      <c r="Q37" s="457">
        <v>0.29623854999025528</v>
      </c>
      <c r="R37" s="457">
        <v>0.82829857727538492</v>
      </c>
      <c r="S37" s="457">
        <v>0</v>
      </c>
      <c r="T37" s="457" t="s">
        <v>221</v>
      </c>
      <c r="U37" s="457">
        <v>0.11534805329415962</v>
      </c>
      <c r="V37" s="457">
        <v>3.2614363239275774E-3</v>
      </c>
      <c r="W37" s="457">
        <v>12.258156922599465</v>
      </c>
      <c r="X37" s="457">
        <v>0.83406193464816658</v>
      </c>
      <c r="Y37" s="460">
        <v>446.38</v>
      </c>
      <c r="Z37" s="458"/>
      <c r="AA37" s="457">
        <v>28.3</v>
      </c>
      <c r="AB37" s="457">
        <v>0</v>
      </c>
      <c r="AC37" s="458"/>
      <c r="AD37" s="458"/>
    </row>
    <row r="38" spans="1:30" x14ac:dyDescent="0.3">
      <c r="A38" s="457" t="s">
        <v>1427</v>
      </c>
      <c r="B38" s="466">
        <v>43357</v>
      </c>
      <c r="C38" s="457" t="s">
        <v>1429</v>
      </c>
      <c r="D38" s="460" t="s">
        <v>196</v>
      </c>
      <c r="E38" s="457">
        <v>22.3</v>
      </c>
      <c r="F38" s="451"/>
      <c r="G38" s="457"/>
      <c r="H38" s="458"/>
      <c r="I38" s="457">
        <v>83.29</v>
      </c>
      <c r="J38" s="458"/>
      <c r="K38" s="457"/>
      <c r="L38" s="458"/>
      <c r="M38" s="457" t="s">
        <v>213</v>
      </c>
      <c r="N38" s="457">
        <v>0.17499999999999999</v>
      </c>
      <c r="O38" s="457">
        <v>0.68200000000000005</v>
      </c>
      <c r="P38" s="457"/>
      <c r="Q38" s="457">
        <v>0.21010925681354303</v>
      </c>
      <c r="R38" s="457">
        <v>0.81882578941049344</v>
      </c>
      <c r="S38" s="457">
        <v>0</v>
      </c>
      <c r="T38" s="457" t="s">
        <v>221</v>
      </c>
      <c r="U38" s="457">
        <v>0.11245877057926257</v>
      </c>
      <c r="V38" s="457">
        <v>7.2258705350956029E-3</v>
      </c>
      <c r="W38" s="457">
        <v>16.798959398059175</v>
      </c>
      <c r="X38" s="457">
        <v>1.9569179636184375</v>
      </c>
      <c r="Y38" s="460">
        <v>618.71</v>
      </c>
      <c r="Z38" s="458"/>
      <c r="AA38" s="457">
        <v>33.130000000000003</v>
      </c>
      <c r="AB38" s="457">
        <v>0</v>
      </c>
      <c r="AC38" s="458"/>
      <c r="AD38" s="458"/>
    </row>
    <row r="39" spans="1:30" x14ac:dyDescent="0.3">
      <c r="A39" s="457" t="s">
        <v>1427</v>
      </c>
      <c r="B39" s="466">
        <v>43357</v>
      </c>
      <c r="C39" s="457" t="s">
        <v>1430</v>
      </c>
      <c r="D39" s="460" t="s">
        <v>196</v>
      </c>
      <c r="E39" s="457">
        <v>24</v>
      </c>
      <c r="F39" s="451"/>
      <c r="G39" s="457"/>
      <c r="H39" s="458"/>
      <c r="I39" s="457">
        <v>76.87</v>
      </c>
      <c r="J39" s="458"/>
      <c r="K39" s="457"/>
      <c r="L39" s="458"/>
      <c r="M39" s="457" t="s">
        <v>213</v>
      </c>
      <c r="N39" s="457">
        <v>0.23899999999999999</v>
      </c>
      <c r="O39" s="457">
        <v>0.57999999999999996</v>
      </c>
      <c r="P39" s="457"/>
      <c r="Q39" s="457">
        <v>0.3109145310264082</v>
      </c>
      <c r="R39" s="457">
        <v>0.75452061922726665</v>
      </c>
      <c r="S39" s="457">
        <v>0</v>
      </c>
      <c r="T39" s="457" t="s">
        <v>221</v>
      </c>
      <c r="U39" s="457">
        <v>0.14516913504452922</v>
      </c>
      <c r="V39" s="457">
        <v>5.7043528146786589E-3</v>
      </c>
      <c r="W39" s="457">
        <v>17.595138367049081</v>
      </c>
      <c r="X39" s="457">
        <v>1.0261693084032735</v>
      </c>
      <c r="Y39" s="460">
        <v>585.29999999999995</v>
      </c>
      <c r="Z39" s="458"/>
      <c r="AA39" s="457">
        <v>37.270000000000003</v>
      </c>
      <c r="AB39" s="457">
        <v>0</v>
      </c>
      <c r="AC39" s="458"/>
      <c r="AD39" s="458"/>
    </row>
    <row r="40" spans="1:30" x14ac:dyDescent="0.3">
      <c r="A40" s="457" t="s">
        <v>1427</v>
      </c>
      <c r="B40" s="466">
        <v>43357</v>
      </c>
      <c r="C40" s="457" t="s">
        <v>1431</v>
      </c>
      <c r="D40" s="460" t="s">
        <v>196</v>
      </c>
      <c r="E40" s="457">
        <v>18.7</v>
      </c>
      <c r="F40" s="451"/>
      <c r="G40" s="457"/>
      <c r="H40" s="458"/>
      <c r="I40" s="457">
        <v>55.32</v>
      </c>
      <c r="J40" s="458"/>
      <c r="K40" s="457"/>
      <c r="L40" s="458"/>
      <c r="M40" s="457" t="s">
        <v>213</v>
      </c>
      <c r="N40" s="457">
        <v>0.14899999999999999</v>
      </c>
      <c r="O40" s="457">
        <v>0.379</v>
      </c>
      <c r="P40" s="457"/>
      <c r="Q40" s="457">
        <v>0.26934201012292114</v>
      </c>
      <c r="R40" s="457">
        <v>0.68510484454085319</v>
      </c>
      <c r="S40" s="457">
        <v>0</v>
      </c>
      <c r="T40" s="457" t="s">
        <v>221</v>
      </c>
      <c r="U40" s="457">
        <v>9.7151868517975512E-2</v>
      </c>
      <c r="V40" s="457">
        <v>5.1221821878694295E-3</v>
      </c>
      <c r="W40" s="457">
        <v>9.8377985797859768</v>
      </c>
      <c r="X40" s="457">
        <v>1.5070360065494297</v>
      </c>
      <c r="Y40" s="460">
        <v>979.11</v>
      </c>
      <c r="Z40" s="458"/>
      <c r="AA40" s="457">
        <v>41.9</v>
      </c>
      <c r="AB40" s="457">
        <v>0</v>
      </c>
      <c r="AC40" s="458"/>
      <c r="AD40" s="458"/>
    </row>
    <row r="41" spans="1:30" x14ac:dyDescent="0.3">
      <c r="A41" s="457" t="s">
        <v>1427</v>
      </c>
      <c r="B41" s="466">
        <v>43357</v>
      </c>
      <c r="C41" s="457" t="s">
        <v>1432</v>
      </c>
      <c r="D41" s="460" t="s">
        <v>196</v>
      </c>
      <c r="E41" s="457">
        <v>21.8</v>
      </c>
      <c r="F41" s="451"/>
      <c r="G41" s="457"/>
      <c r="H41" s="458"/>
      <c r="I41" s="457">
        <v>85.86</v>
      </c>
      <c r="J41" s="458"/>
      <c r="K41" s="457"/>
      <c r="L41" s="458"/>
      <c r="M41" s="457" t="s">
        <v>213</v>
      </c>
      <c r="N41" s="457">
        <v>0.24099999999999999</v>
      </c>
      <c r="O41" s="457">
        <v>0.48</v>
      </c>
      <c r="P41" s="457"/>
      <c r="Q41" s="457">
        <v>0.28068949452597247</v>
      </c>
      <c r="R41" s="457">
        <v>0.55904961565338929</v>
      </c>
      <c r="S41" s="457">
        <v>1</v>
      </c>
      <c r="T41" s="457" t="s">
        <v>221</v>
      </c>
      <c r="U41" s="457">
        <v>9.024887076805857E-2</v>
      </c>
      <c r="V41" s="457">
        <v>3.0575338470161741E-3</v>
      </c>
      <c r="W41" s="457">
        <v>21.990433865155239</v>
      </c>
      <c r="X41" s="457">
        <v>2.242138240182451</v>
      </c>
      <c r="Y41" s="460">
        <v>359.89</v>
      </c>
      <c r="Z41" s="458"/>
      <c r="AA41" s="457">
        <v>28.76</v>
      </c>
      <c r="AB41" s="457">
        <v>0.2</v>
      </c>
      <c r="AC41" s="458"/>
      <c r="AD41" s="458"/>
    </row>
    <row r="42" spans="1:30" x14ac:dyDescent="0.3">
      <c r="A42" s="457" t="s">
        <v>1427</v>
      </c>
      <c r="B42" s="466">
        <v>43357</v>
      </c>
      <c r="C42" s="457" t="s">
        <v>1433</v>
      </c>
      <c r="D42" s="460" t="s">
        <v>196</v>
      </c>
      <c r="E42" s="457">
        <v>21.7</v>
      </c>
      <c r="F42" s="451"/>
      <c r="G42" s="457"/>
      <c r="H42" s="458"/>
      <c r="I42" s="457">
        <v>79.900000000000006</v>
      </c>
      <c r="J42" s="458"/>
      <c r="K42" s="457"/>
      <c r="L42" s="458"/>
      <c r="M42" s="457" t="s">
        <v>213</v>
      </c>
      <c r="N42" s="457">
        <v>0.20699999999999999</v>
      </c>
      <c r="O42" s="457">
        <v>0.67800000000000005</v>
      </c>
      <c r="P42" s="457"/>
      <c r="Q42" s="457">
        <v>0.25907384230287855</v>
      </c>
      <c r="R42" s="457">
        <v>0.84856070087609525</v>
      </c>
      <c r="S42" s="457">
        <v>0</v>
      </c>
      <c r="T42" s="457" t="s">
        <v>221</v>
      </c>
      <c r="U42" s="457">
        <v>9.3031994683280661E-2</v>
      </c>
      <c r="V42" s="457">
        <v>1.5403398487258186E-2</v>
      </c>
      <c r="W42" s="457">
        <v>6.9398408081745639</v>
      </c>
      <c r="X42" s="457">
        <v>0.89038199082949876</v>
      </c>
      <c r="Y42" s="460">
        <v>501.83</v>
      </c>
      <c r="Z42" s="458"/>
      <c r="AA42" s="457">
        <v>33.369999999999997</v>
      </c>
      <c r="AB42" s="457">
        <v>0</v>
      </c>
      <c r="AC42" s="458"/>
      <c r="AD42" s="458"/>
    </row>
    <row r="43" spans="1:30" x14ac:dyDescent="0.3">
      <c r="A43" s="457" t="s">
        <v>1427</v>
      </c>
      <c r="B43" s="466">
        <v>43357</v>
      </c>
      <c r="C43" s="457" t="s">
        <v>1434</v>
      </c>
      <c r="D43" s="460" t="s">
        <v>196</v>
      </c>
      <c r="E43" s="457">
        <v>18.5</v>
      </c>
      <c r="F43" s="451"/>
      <c r="G43" s="457"/>
      <c r="H43" s="458"/>
      <c r="I43" s="457">
        <v>48.86</v>
      </c>
      <c r="J43" s="458"/>
      <c r="K43" s="457"/>
      <c r="L43" s="458"/>
      <c r="M43" s="457" t="s">
        <v>213</v>
      </c>
      <c r="N43" s="457">
        <v>0.13300000000000001</v>
      </c>
      <c r="O43" s="457">
        <v>0.375</v>
      </c>
      <c r="P43" s="457"/>
      <c r="Q43" s="457">
        <v>0.27220630372492838</v>
      </c>
      <c r="R43" s="457">
        <v>0.76749897666803113</v>
      </c>
      <c r="S43" s="457">
        <v>0</v>
      </c>
      <c r="T43" s="457" t="s">
        <v>221</v>
      </c>
      <c r="U43" s="457">
        <v>0.10237398115846501</v>
      </c>
      <c r="V43" s="457">
        <v>1.4186665190127096E-2</v>
      </c>
      <c r="W43" s="457">
        <v>8.7236945547669507</v>
      </c>
      <c r="X43" s="457">
        <v>0.75858213519712647</v>
      </c>
      <c r="Y43" s="460">
        <v>945.31</v>
      </c>
      <c r="Z43" s="458"/>
      <c r="AA43" s="457">
        <v>43.57</v>
      </c>
      <c r="AB43" s="457">
        <v>0</v>
      </c>
      <c r="AC43" s="458"/>
      <c r="AD43" s="458"/>
    </row>
    <row r="44" spans="1:30" x14ac:dyDescent="0.3">
      <c r="A44" s="457" t="s">
        <v>1427</v>
      </c>
      <c r="B44" s="466">
        <v>43357</v>
      </c>
      <c r="C44" s="457" t="s">
        <v>1435</v>
      </c>
      <c r="D44" s="460" t="s">
        <v>196</v>
      </c>
      <c r="E44" s="457">
        <v>22</v>
      </c>
      <c r="F44" s="451"/>
      <c r="G44" s="457"/>
      <c r="H44" s="458"/>
      <c r="I44" s="457">
        <v>91.22</v>
      </c>
      <c r="J44" s="458"/>
      <c r="K44" s="457"/>
      <c r="L44" s="458"/>
      <c r="M44" s="457" t="s">
        <v>210</v>
      </c>
      <c r="N44" s="457">
        <v>1.6E-2</v>
      </c>
      <c r="O44" s="457">
        <v>0.95399999999999996</v>
      </c>
      <c r="P44" s="457"/>
      <c r="Q44" s="457">
        <v>1.7540013155009866E-2</v>
      </c>
      <c r="R44" s="457">
        <v>1.0458232843674633</v>
      </c>
      <c r="S44" s="457">
        <v>0</v>
      </c>
      <c r="T44" s="457" t="s">
        <v>1340</v>
      </c>
      <c r="U44" s="457">
        <v>6.7065923623756143E-2</v>
      </c>
      <c r="V44" s="457">
        <v>4.047787264100898E-3</v>
      </c>
      <c r="W44" s="457">
        <v>2.7393608552201436</v>
      </c>
      <c r="X44" s="457">
        <v>1.1183393861072499</v>
      </c>
      <c r="Y44" s="460">
        <v>780.67</v>
      </c>
      <c r="Z44" s="458"/>
      <c r="AA44" s="457">
        <v>44.22</v>
      </c>
      <c r="AB44" s="457">
        <v>0</v>
      </c>
      <c r="AC44" s="457">
        <v>230.73</v>
      </c>
      <c r="AD44" s="467">
        <v>1.8</v>
      </c>
    </row>
    <row r="45" spans="1:30" x14ac:dyDescent="0.3">
      <c r="A45" s="457" t="s">
        <v>1427</v>
      </c>
      <c r="B45" s="466">
        <v>43371</v>
      </c>
      <c r="C45" s="457" t="s">
        <v>1436</v>
      </c>
      <c r="D45" s="460" t="s">
        <v>196</v>
      </c>
      <c r="E45" s="457">
        <v>19</v>
      </c>
      <c r="F45" s="451"/>
      <c r="G45" s="457"/>
      <c r="H45" s="458"/>
      <c r="I45" s="457">
        <v>48.89</v>
      </c>
      <c r="J45" s="458"/>
      <c r="K45" s="457"/>
      <c r="L45" s="458"/>
      <c r="M45" s="457" t="s">
        <v>213</v>
      </c>
      <c r="N45" s="457">
        <v>0.33100000000000002</v>
      </c>
      <c r="O45" s="457">
        <v>0.65100000000000002</v>
      </c>
      <c r="P45" s="457"/>
      <c r="Q45" s="457">
        <v>0.67703006749846595</v>
      </c>
      <c r="R45" s="457">
        <v>1.3315606463489467</v>
      </c>
      <c r="S45" s="457">
        <v>1</v>
      </c>
      <c r="T45" s="457" t="s">
        <v>221</v>
      </c>
      <c r="U45" s="457">
        <v>0.10236426311070715</v>
      </c>
      <c r="V45" s="457">
        <v>4.0577424929336293E-3</v>
      </c>
      <c r="W45" s="457">
        <v>6.5570899170533643</v>
      </c>
      <c r="X45" s="457">
        <v>1.3384603745274357</v>
      </c>
      <c r="Y45" s="460">
        <v>315.49</v>
      </c>
      <c r="Z45" s="458"/>
      <c r="AA45" s="457">
        <v>25.07</v>
      </c>
      <c r="AB45" s="457">
        <v>0.2</v>
      </c>
      <c r="AC45" s="458"/>
      <c r="AD45" s="458"/>
    </row>
    <row r="46" spans="1:30" x14ac:dyDescent="0.3">
      <c r="A46" s="457" t="s">
        <v>1427</v>
      </c>
      <c r="B46" s="466">
        <v>43371</v>
      </c>
      <c r="C46" s="457" t="s">
        <v>1437</v>
      </c>
      <c r="D46" s="460" t="s">
        <v>196</v>
      </c>
      <c r="E46" s="457">
        <v>21.5</v>
      </c>
      <c r="F46" s="451"/>
      <c r="G46" s="457"/>
      <c r="H46" s="458"/>
      <c r="I46" s="457">
        <v>80.67</v>
      </c>
      <c r="J46" s="458"/>
      <c r="K46" s="457"/>
      <c r="L46" s="458"/>
      <c r="M46" s="457" t="s">
        <v>213</v>
      </c>
      <c r="N46" s="457">
        <v>0.22500000000000001</v>
      </c>
      <c r="O46" s="457">
        <v>0.877</v>
      </c>
      <c r="P46" s="457"/>
      <c r="Q46" s="457">
        <v>0.27891409445890664</v>
      </c>
      <c r="R46" s="457">
        <v>1.0871451592909385</v>
      </c>
      <c r="S46" s="457">
        <v>1</v>
      </c>
      <c r="T46" s="457" t="s">
        <v>221</v>
      </c>
      <c r="U46" s="457">
        <v>0.12207822679279681</v>
      </c>
      <c r="V46" s="457">
        <v>3.8132556635879437E-2</v>
      </c>
      <c r="W46" s="457">
        <v>12.492998825724458</v>
      </c>
      <c r="X46" s="457">
        <v>2.1682775341207252</v>
      </c>
      <c r="Y46" s="460">
        <v>232.26</v>
      </c>
      <c r="Z46" s="458"/>
      <c r="AA46" s="457">
        <v>22.75</v>
      </c>
      <c r="AB46" s="457">
        <v>0</v>
      </c>
      <c r="AC46" s="458"/>
      <c r="AD46" s="458"/>
    </row>
    <row r="47" spans="1:30" x14ac:dyDescent="0.3">
      <c r="A47" s="457" t="s">
        <v>1427</v>
      </c>
      <c r="B47" s="466">
        <v>43371</v>
      </c>
      <c r="C47" s="457" t="s">
        <v>1438</v>
      </c>
      <c r="D47" s="460" t="s">
        <v>196</v>
      </c>
      <c r="E47" s="457">
        <v>20.2</v>
      </c>
      <c r="F47" s="451"/>
      <c r="G47" s="457"/>
      <c r="H47" s="458"/>
      <c r="I47" s="457">
        <v>67.66</v>
      </c>
      <c r="J47" s="458"/>
      <c r="K47" s="457"/>
      <c r="L47" s="458"/>
      <c r="M47" s="457" t="s">
        <v>210</v>
      </c>
      <c r="N47" s="457">
        <v>2.4E-2</v>
      </c>
      <c r="O47" s="457">
        <v>0.68300000000000005</v>
      </c>
      <c r="P47" s="457"/>
      <c r="Q47" s="457">
        <v>3.5471475022169671E-2</v>
      </c>
      <c r="R47" s="457">
        <v>1.0094590600059121</v>
      </c>
      <c r="S47" s="457">
        <v>1</v>
      </c>
      <c r="T47" s="457" t="s">
        <v>1340</v>
      </c>
      <c r="U47" s="457">
        <v>0.10150745226408442</v>
      </c>
      <c r="V47" s="457">
        <v>6.0172918935465017E-3</v>
      </c>
      <c r="W47" s="457">
        <v>6.6982329703195482</v>
      </c>
      <c r="X47" s="457">
        <v>1.1049218881453784</v>
      </c>
      <c r="Y47" s="460">
        <v>209.81</v>
      </c>
      <c r="Z47" s="458"/>
      <c r="AA47" s="457">
        <v>27.12</v>
      </c>
      <c r="AB47" s="457">
        <v>0</v>
      </c>
      <c r="AC47" s="457">
        <v>220.09</v>
      </c>
      <c r="AD47" s="467">
        <v>31.5</v>
      </c>
    </row>
    <row r="48" spans="1:30" x14ac:dyDescent="0.3">
      <c r="A48" s="457" t="s">
        <v>1427</v>
      </c>
      <c r="B48" s="466">
        <v>43371</v>
      </c>
      <c r="C48" s="457" t="s">
        <v>1439</v>
      </c>
      <c r="D48" s="460" t="s">
        <v>196</v>
      </c>
      <c r="E48" s="457">
        <v>19.8</v>
      </c>
      <c r="F48" s="451"/>
      <c r="G48" s="457"/>
      <c r="H48" s="458"/>
      <c r="I48" s="457">
        <v>64.959999999999994</v>
      </c>
      <c r="J48" s="458"/>
      <c r="K48" s="457"/>
      <c r="L48" s="458"/>
      <c r="M48" s="457" t="s">
        <v>210</v>
      </c>
      <c r="N48" s="457">
        <v>1.2E-2</v>
      </c>
      <c r="O48" s="457">
        <v>0.59399999999999997</v>
      </c>
      <c r="P48" s="457"/>
      <c r="Q48" s="457">
        <v>1.8472906403940888E-2</v>
      </c>
      <c r="R48" s="457">
        <v>0.91440886699507395</v>
      </c>
      <c r="S48" s="457">
        <v>1</v>
      </c>
      <c r="T48" s="457" t="s">
        <v>1340</v>
      </c>
      <c r="U48" s="457">
        <v>0.10060305938613692</v>
      </c>
      <c r="V48" s="457">
        <v>1.77955227155124E-2</v>
      </c>
      <c r="W48" s="457">
        <v>4.342670538795792</v>
      </c>
      <c r="X48" s="457">
        <v>1.7728878235111649</v>
      </c>
      <c r="Y48" s="460">
        <v>163.69999999999999</v>
      </c>
      <c r="Z48" s="458"/>
      <c r="AA48" s="457">
        <v>22.52</v>
      </c>
      <c r="AB48" s="457">
        <v>0.2</v>
      </c>
      <c r="AC48" s="457">
        <v>204.4</v>
      </c>
      <c r="AD48" s="467">
        <v>15.5</v>
      </c>
    </row>
    <row r="49" spans="1:30" x14ac:dyDescent="0.3">
      <c r="A49" s="457" t="s">
        <v>1427</v>
      </c>
      <c r="B49" s="466">
        <v>43371</v>
      </c>
      <c r="C49" s="457" t="s">
        <v>1440</v>
      </c>
      <c r="D49" s="460" t="s">
        <v>196</v>
      </c>
      <c r="E49" s="457">
        <v>21.3</v>
      </c>
      <c r="F49" s="451"/>
      <c r="G49" s="457"/>
      <c r="H49" s="458"/>
      <c r="I49" s="457">
        <v>89.17</v>
      </c>
      <c r="J49" s="458"/>
      <c r="K49" s="457"/>
      <c r="L49" s="458"/>
      <c r="M49" s="457" t="s">
        <v>210</v>
      </c>
      <c r="N49" s="457">
        <v>1.4E-2</v>
      </c>
      <c r="O49" s="457">
        <v>0.70199999999999996</v>
      </c>
      <c r="P49" s="457"/>
      <c r="Q49" s="457">
        <v>1.570034765055512E-2</v>
      </c>
      <c r="R49" s="457">
        <v>0.78726028933497794</v>
      </c>
      <c r="S49" s="457">
        <v>0</v>
      </c>
      <c r="T49" s="457" t="s">
        <v>1340</v>
      </c>
      <c r="U49" s="457">
        <v>8.5688168751213004E-2</v>
      </c>
      <c r="V49" s="457">
        <v>4.7665615730091105E-3</v>
      </c>
      <c r="W49" s="457">
        <v>9.0990430839690024</v>
      </c>
      <c r="X49" s="457">
        <v>0</v>
      </c>
      <c r="Y49" s="460">
        <v>409.06</v>
      </c>
      <c r="Z49" s="458"/>
      <c r="AA49" s="457">
        <v>27.36</v>
      </c>
      <c r="AB49" s="457">
        <v>1.2</v>
      </c>
      <c r="AC49" s="457">
        <v>158.79</v>
      </c>
      <c r="AD49" s="467">
        <v>12.4</v>
      </c>
    </row>
    <row r="50" spans="1:30" x14ac:dyDescent="0.3">
      <c r="A50" s="457" t="s">
        <v>1427</v>
      </c>
      <c r="B50" s="466">
        <v>43371</v>
      </c>
      <c r="C50" s="457" t="s">
        <v>1441</v>
      </c>
      <c r="D50" s="460" t="s">
        <v>196</v>
      </c>
      <c r="E50" s="457">
        <v>20.399999999999999</v>
      </c>
      <c r="F50" s="451"/>
      <c r="G50" s="457"/>
      <c r="H50" s="458"/>
      <c r="I50" s="457">
        <v>68.599999999999994</v>
      </c>
      <c r="J50" s="458"/>
      <c r="K50" s="457"/>
      <c r="L50" s="458"/>
      <c r="M50" s="457" t="s">
        <v>213</v>
      </c>
      <c r="N50" s="457">
        <v>0.21099999999999999</v>
      </c>
      <c r="O50" s="457">
        <v>0.52900000000000003</v>
      </c>
      <c r="P50" s="457"/>
      <c r="Q50" s="457">
        <v>0.3075801749271137</v>
      </c>
      <c r="R50" s="457">
        <v>0.77113702623906721</v>
      </c>
      <c r="S50" s="457">
        <v>0</v>
      </c>
      <c r="T50" s="457" t="s">
        <v>221</v>
      </c>
      <c r="U50" s="457">
        <v>0.12667750270039443</v>
      </c>
      <c r="V50" s="457">
        <v>6.6750023615705168E-3</v>
      </c>
      <c r="W50" s="457">
        <v>7.5234842139974365</v>
      </c>
      <c r="X50" s="457">
        <v>1.0031312285329999</v>
      </c>
      <c r="Y50" s="460">
        <v>560</v>
      </c>
      <c r="Z50" s="458"/>
      <c r="AA50" s="457">
        <v>32.67</v>
      </c>
      <c r="AB50" s="457">
        <v>0</v>
      </c>
      <c r="AC50" s="458"/>
      <c r="AD50" s="458"/>
    </row>
    <row r="51" spans="1:30" x14ac:dyDescent="0.3">
      <c r="A51" s="457" t="s">
        <v>1427</v>
      </c>
      <c r="B51" s="466">
        <v>43371</v>
      </c>
      <c r="C51" s="457" t="s">
        <v>1442</v>
      </c>
      <c r="D51" s="460" t="s">
        <v>196</v>
      </c>
      <c r="E51" s="457">
        <v>18.8</v>
      </c>
      <c r="F51" s="451"/>
      <c r="G51" s="457"/>
      <c r="H51" s="458"/>
      <c r="I51" s="457">
        <v>51.7</v>
      </c>
      <c r="J51" s="458"/>
      <c r="K51" s="457"/>
      <c r="L51" s="458"/>
      <c r="M51" s="457" t="s">
        <v>210</v>
      </c>
      <c r="N51" s="457">
        <v>7.0000000000000001E-3</v>
      </c>
      <c r="O51" s="457">
        <v>0.29399999999999998</v>
      </c>
      <c r="P51" s="457"/>
      <c r="Q51" s="457">
        <v>1.3539651837524178E-2</v>
      </c>
      <c r="R51" s="457">
        <v>0.5686653771760154</v>
      </c>
      <c r="S51" s="457">
        <v>0</v>
      </c>
      <c r="T51" s="457" t="s">
        <v>1340</v>
      </c>
      <c r="U51" s="457">
        <v>9.9093677843178435E-2</v>
      </c>
      <c r="V51" s="457">
        <v>5.1263368547294274E-3</v>
      </c>
      <c r="W51" s="457">
        <v>8.4086235389445445</v>
      </c>
      <c r="X51" s="457">
        <v>0.76284581887295699</v>
      </c>
      <c r="Y51" s="460">
        <v>286.42</v>
      </c>
      <c r="Z51" s="458"/>
      <c r="AA51" s="457">
        <v>23.95</v>
      </c>
      <c r="AB51" s="457">
        <v>0</v>
      </c>
      <c r="AC51" s="457">
        <v>215.19</v>
      </c>
      <c r="AD51" s="467">
        <v>21</v>
      </c>
    </row>
    <row r="52" spans="1:30" x14ac:dyDescent="0.3">
      <c r="A52" s="457" t="s">
        <v>1443</v>
      </c>
      <c r="B52" s="466">
        <v>43420</v>
      </c>
      <c r="C52" s="457" t="s">
        <v>1444</v>
      </c>
      <c r="D52" s="460" t="s">
        <v>197</v>
      </c>
      <c r="E52" s="457">
        <v>28.9</v>
      </c>
      <c r="F52" s="451"/>
      <c r="G52" s="457">
        <v>26.9</v>
      </c>
      <c r="H52" s="458"/>
      <c r="I52" s="457">
        <v>224.96</v>
      </c>
      <c r="J52" s="458"/>
      <c r="K52" s="457"/>
      <c r="L52" s="458"/>
      <c r="M52" s="457" t="s">
        <v>213</v>
      </c>
      <c r="N52" s="457">
        <v>1.006</v>
      </c>
      <c r="O52" s="457">
        <v>1.4830000000000001</v>
      </c>
      <c r="P52" s="457"/>
      <c r="Q52" s="457">
        <v>0.44719061166429586</v>
      </c>
      <c r="R52" s="457">
        <v>0.65922830725462311</v>
      </c>
      <c r="S52" s="457">
        <v>2</v>
      </c>
      <c r="T52" s="457" t="s">
        <v>1445</v>
      </c>
      <c r="U52" s="457">
        <v>6.1226428510521354E-2</v>
      </c>
      <c r="V52" s="468">
        <v>4.0575432013993948E-3</v>
      </c>
      <c r="W52" s="457">
        <v>4.3635981229553042</v>
      </c>
      <c r="X52" s="457">
        <v>1.7454392491821218</v>
      </c>
      <c r="Y52" s="460">
        <v>578.54</v>
      </c>
      <c r="Z52" s="458"/>
      <c r="AA52" s="457">
        <v>33.159999999999997</v>
      </c>
      <c r="AB52" s="457">
        <v>0</v>
      </c>
      <c r="AC52" s="458"/>
      <c r="AD52" s="458"/>
    </row>
    <row r="53" spans="1:30" x14ac:dyDescent="0.3">
      <c r="A53" s="457" t="s">
        <v>1443</v>
      </c>
      <c r="B53" s="466">
        <v>43420</v>
      </c>
      <c r="C53" s="457" t="s">
        <v>1446</v>
      </c>
      <c r="D53" s="460" t="s">
        <v>197</v>
      </c>
      <c r="E53" s="457">
        <v>28.9</v>
      </c>
      <c r="F53" s="451"/>
      <c r="G53" s="457">
        <v>26.89</v>
      </c>
      <c r="H53" s="458"/>
      <c r="I53" s="457">
        <v>234.9</v>
      </c>
      <c r="J53" s="458"/>
      <c r="K53" s="457"/>
      <c r="L53" s="458"/>
      <c r="M53" s="457" t="s">
        <v>213</v>
      </c>
      <c r="N53" s="457">
        <v>3.0179999999999998</v>
      </c>
      <c r="O53" s="457">
        <v>2</v>
      </c>
      <c r="P53" s="457"/>
      <c r="Q53" s="457">
        <v>1.2848020434227327</v>
      </c>
      <c r="R53" s="457">
        <v>0.85142613878246065</v>
      </c>
      <c r="S53" s="457">
        <v>2</v>
      </c>
      <c r="T53" s="457" t="s">
        <v>1447</v>
      </c>
      <c r="U53" s="457">
        <v>6.5130754882064115E-2</v>
      </c>
      <c r="V53" s="468">
        <v>4.9098944716499879E-3</v>
      </c>
      <c r="W53" s="457">
        <v>5.7556136535710865</v>
      </c>
      <c r="X53" s="457">
        <v>0.93988777385634759</v>
      </c>
      <c r="Y53" s="460">
        <v>396.68</v>
      </c>
      <c r="Z53" s="458"/>
      <c r="AA53" s="457">
        <v>31.54</v>
      </c>
      <c r="AB53" s="457">
        <v>3.8</v>
      </c>
      <c r="AC53" s="458"/>
      <c r="AD53" s="458"/>
    </row>
    <row r="54" spans="1:30" x14ac:dyDescent="0.3">
      <c r="A54" s="457" t="s">
        <v>1443</v>
      </c>
      <c r="B54" s="466">
        <v>43420</v>
      </c>
      <c r="C54" s="457" t="s">
        <v>1448</v>
      </c>
      <c r="D54" s="460" t="s">
        <v>197</v>
      </c>
      <c r="E54" s="457">
        <v>26.8</v>
      </c>
      <c r="F54" s="451"/>
      <c r="G54" s="457">
        <v>24.9</v>
      </c>
      <c r="H54" s="458"/>
      <c r="I54" s="457">
        <v>174.16</v>
      </c>
      <c r="J54" s="458"/>
      <c r="K54" s="457"/>
      <c r="L54" s="458"/>
      <c r="M54" s="457" t="s">
        <v>210</v>
      </c>
      <c r="N54" s="457">
        <v>0.107</v>
      </c>
      <c r="O54" s="457">
        <v>1.5469999999999999</v>
      </c>
      <c r="P54" s="457"/>
      <c r="Q54" s="457">
        <v>6.1437758383096001E-2</v>
      </c>
      <c r="R54" s="457">
        <v>0.88826366559485526</v>
      </c>
      <c r="S54" s="457">
        <v>1</v>
      </c>
      <c r="T54" s="457" t="s">
        <v>1340</v>
      </c>
      <c r="U54" s="457">
        <v>0.11953297552465739</v>
      </c>
      <c r="V54" s="468">
        <v>8.7429337113323936E-3</v>
      </c>
      <c r="W54" s="457">
        <v>2.0070441648532538</v>
      </c>
      <c r="X54" s="457">
        <v>0.80281766594130188</v>
      </c>
      <c r="Y54" s="460">
        <v>479.2</v>
      </c>
      <c r="Z54" s="458"/>
      <c r="AA54" s="457">
        <v>31.89</v>
      </c>
      <c r="AB54" s="457">
        <v>0</v>
      </c>
      <c r="AC54" s="457">
        <v>160.37</v>
      </c>
      <c r="AD54" s="468">
        <v>15.1</v>
      </c>
    </row>
    <row r="55" spans="1:30" x14ac:dyDescent="0.3">
      <c r="A55" s="457" t="s">
        <v>1443</v>
      </c>
      <c r="B55" s="466">
        <v>43420</v>
      </c>
      <c r="C55" s="457" t="s">
        <v>1449</v>
      </c>
      <c r="D55" s="460" t="s">
        <v>197</v>
      </c>
      <c r="E55" s="457">
        <v>29.8</v>
      </c>
      <c r="F55" s="451"/>
      <c r="G55" s="457">
        <v>28.1</v>
      </c>
      <c r="H55" s="458"/>
      <c r="I55" s="457">
        <v>277.51</v>
      </c>
      <c r="J55" s="458"/>
      <c r="K55" s="457"/>
      <c r="L55" s="458"/>
      <c r="M55" s="457" t="s">
        <v>213</v>
      </c>
      <c r="N55" s="457">
        <v>3.742</v>
      </c>
      <c r="O55" s="457">
        <v>2.3239999999999998</v>
      </c>
      <c r="P55" s="457"/>
      <c r="Q55" s="457">
        <v>1.3484198767611979</v>
      </c>
      <c r="R55" s="457">
        <v>0.83744729919642535</v>
      </c>
      <c r="S55" s="457">
        <v>2</v>
      </c>
      <c r="T55" s="457" t="s">
        <v>1447</v>
      </c>
      <c r="U55" s="457">
        <v>0.14559805107636872</v>
      </c>
      <c r="V55" s="468">
        <v>6.7710228408305907E-3</v>
      </c>
      <c r="W55" s="457">
        <v>1.976779213161022</v>
      </c>
      <c r="X55" s="457">
        <v>0.93186265768984422</v>
      </c>
      <c r="Y55" s="460">
        <v>249.42</v>
      </c>
      <c r="Z55" s="458"/>
      <c r="AA55" s="457">
        <v>22.77</v>
      </c>
      <c r="AB55" s="457">
        <v>0</v>
      </c>
      <c r="AC55" s="458"/>
      <c r="AD55" s="458"/>
    </row>
    <row r="56" spans="1:30" x14ac:dyDescent="0.3">
      <c r="A56" s="457" t="s">
        <v>1443</v>
      </c>
      <c r="B56" s="466">
        <v>43420</v>
      </c>
      <c r="C56" s="457" t="s">
        <v>1450</v>
      </c>
      <c r="D56" s="460" t="s">
        <v>197</v>
      </c>
      <c r="E56" s="457">
        <v>27.9</v>
      </c>
      <c r="F56" s="451"/>
      <c r="G56" s="457">
        <v>26.1</v>
      </c>
      <c r="H56" s="458"/>
      <c r="I56" s="457">
        <v>196.86</v>
      </c>
      <c r="J56" s="458"/>
      <c r="K56" s="457"/>
      <c r="L56" s="458"/>
      <c r="M56" s="457" t="s">
        <v>210</v>
      </c>
      <c r="N56" s="457">
        <v>0.126</v>
      </c>
      <c r="O56" s="457">
        <v>1.835</v>
      </c>
      <c r="P56" s="457"/>
      <c r="Q56" s="457">
        <v>6.4004876562023763E-2</v>
      </c>
      <c r="R56" s="457">
        <v>0.9321345118358223</v>
      </c>
      <c r="S56" s="457">
        <v>0</v>
      </c>
      <c r="T56" s="457" t="s">
        <v>1340</v>
      </c>
      <c r="U56" s="457">
        <v>9.8190160162982695E-2</v>
      </c>
      <c r="V56" s="468">
        <v>6.6547978735398894E-3</v>
      </c>
      <c r="W56" s="457">
        <v>6.4598923030019169</v>
      </c>
      <c r="X56" s="457">
        <v>0.67998866347388576</v>
      </c>
      <c r="Y56" s="460">
        <v>347.26</v>
      </c>
      <c r="Z56" s="458"/>
      <c r="AA56" s="457">
        <v>25.29</v>
      </c>
      <c r="AB56" s="457">
        <v>1</v>
      </c>
      <c r="AC56" s="457">
        <v>147.13999999999999</v>
      </c>
      <c r="AD56" s="468">
        <v>10.199999999999999</v>
      </c>
    </row>
    <row r="57" spans="1:30" x14ac:dyDescent="0.3">
      <c r="A57" s="457" t="s">
        <v>1443</v>
      </c>
      <c r="B57" s="466">
        <v>43420</v>
      </c>
      <c r="C57" s="457" t="s">
        <v>1451</v>
      </c>
      <c r="D57" s="460" t="s">
        <v>197</v>
      </c>
      <c r="E57" s="457">
        <v>29.4</v>
      </c>
      <c r="F57" s="451"/>
      <c r="G57" s="457">
        <v>27.4</v>
      </c>
      <c r="H57" s="458"/>
      <c r="I57" s="457">
        <v>231.99</v>
      </c>
      <c r="J57" s="458"/>
      <c r="K57" s="457"/>
      <c r="L57" s="458"/>
      <c r="M57" s="457" t="s">
        <v>213</v>
      </c>
      <c r="N57" s="457">
        <v>1.1379999999999999</v>
      </c>
      <c r="O57" s="457">
        <v>1.762</v>
      </c>
      <c r="P57" s="457"/>
      <c r="Q57" s="457">
        <v>0.49053838527522731</v>
      </c>
      <c r="R57" s="457">
        <v>0.75951549635760152</v>
      </c>
      <c r="S57" s="457">
        <v>2</v>
      </c>
      <c r="T57" s="457" t="s">
        <v>1445</v>
      </c>
      <c r="U57" s="457">
        <v>0.10616056896040656</v>
      </c>
      <c r="V57" s="468">
        <v>4.6651197946570456E-3</v>
      </c>
      <c r="W57" s="457">
        <v>4.3114174833025105</v>
      </c>
      <c r="X57" s="457">
        <v>0</v>
      </c>
      <c r="Y57" s="460">
        <v>595.58000000000004</v>
      </c>
      <c r="Z57" s="458"/>
      <c r="AA57" s="457">
        <v>40.090000000000003</v>
      </c>
      <c r="AB57" s="457">
        <v>0</v>
      </c>
      <c r="AC57" s="458"/>
      <c r="AD57" s="458"/>
    </row>
    <row r="58" spans="1:30" x14ac:dyDescent="0.3">
      <c r="A58" s="457" t="s">
        <v>1443</v>
      </c>
      <c r="B58" s="466">
        <v>43420</v>
      </c>
      <c r="C58" s="457" t="s">
        <v>1452</v>
      </c>
      <c r="D58" s="460" t="s">
        <v>197</v>
      </c>
      <c r="E58" s="457">
        <v>29.7</v>
      </c>
      <c r="F58" s="451"/>
      <c r="G58" s="457">
        <v>27.9</v>
      </c>
      <c r="H58" s="458"/>
      <c r="I58" s="457">
        <v>222.68</v>
      </c>
      <c r="J58" s="458"/>
      <c r="K58" s="457"/>
      <c r="L58" s="458"/>
      <c r="M58" s="457" t="s">
        <v>213</v>
      </c>
      <c r="N58" s="457">
        <v>1.9339999999999999</v>
      </c>
      <c r="O58" s="457">
        <v>1.851</v>
      </c>
      <c r="P58" s="457"/>
      <c r="Q58" s="457">
        <v>0.86851086761271779</v>
      </c>
      <c r="R58" s="457">
        <v>0.83123765044009335</v>
      </c>
      <c r="S58" s="457">
        <v>0</v>
      </c>
      <c r="T58" s="457" t="s">
        <v>1445</v>
      </c>
      <c r="U58" s="457">
        <v>0.12987411983462152</v>
      </c>
      <c r="V58" s="468">
        <v>1.0455769989167106E-2</v>
      </c>
      <c r="W58" s="457">
        <v>2.0897676422300058</v>
      </c>
      <c r="X58" s="457">
        <v>0</v>
      </c>
      <c r="Y58" s="460">
        <v>524.45000000000005</v>
      </c>
      <c r="Z58" s="458"/>
      <c r="AA58" s="457">
        <v>35.61</v>
      </c>
      <c r="AB58" s="457">
        <v>0.4</v>
      </c>
      <c r="AC58" s="458"/>
      <c r="AD58" s="458"/>
    </row>
    <row r="59" spans="1:30" x14ac:dyDescent="0.3">
      <c r="A59" s="457" t="s">
        <v>1443</v>
      </c>
      <c r="B59" s="466">
        <v>43420</v>
      </c>
      <c r="C59" s="457" t="s">
        <v>1453</v>
      </c>
      <c r="D59" s="460" t="s">
        <v>197</v>
      </c>
      <c r="E59" s="457">
        <v>28.7</v>
      </c>
      <c r="F59" s="451"/>
      <c r="G59" s="457">
        <v>26.9</v>
      </c>
      <c r="H59" s="458"/>
      <c r="I59" s="457">
        <v>218.84</v>
      </c>
      <c r="J59" s="458"/>
      <c r="K59" s="457"/>
      <c r="L59" s="458"/>
      <c r="M59" s="457" t="s">
        <v>213</v>
      </c>
      <c r="N59" s="457">
        <v>2.4319999999999999</v>
      </c>
      <c r="O59" s="457">
        <v>2.516</v>
      </c>
      <c r="P59" s="457"/>
      <c r="Q59" s="457">
        <v>1.1113142021568267</v>
      </c>
      <c r="R59" s="457">
        <v>1.1496984097971119</v>
      </c>
      <c r="S59" s="457">
        <v>1</v>
      </c>
      <c r="T59" s="457" t="s">
        <v>1445</v>
      </c>
      <c r="U59" s="457">
        <v>0.15555536135161643</v>
      </c>
      <c r="V59" s="468">
        <v>4.4581141477911514E-2</v>
      </c>
      <c r="W59" s="457">
        <v>4.3874855706744649</v>
      </c>
      <c r="X59" s="457">
        <v>2.0249933403112892</v>
      </c>
      <c r="Y59" s="460">
        <v>213.45</v>
      </c>
      <c r="Z59" s="458"/>
      <c r="AA59" s="457">
        <v>31.17</v>
      </c>
      <c r="AB59" s="457">
        <v>0</v>
      </c>
      <c r="AC59" s="458"/>
      <c r="AD59" s="458"/>
    </row>
    <row r="60" spans="1:30" x14ac:dyDescent="0.3">
      <c r="A60" s="457" t="s">
        <v>1443</v>
      </c>
      <c r="B60" s="466">
        <v>43420</v>
      </c>
      <c r="C60" s="457" t="s">
        <v>1454</v>
      </c>
      <c r="D60" s="460" t="s">
        <v>197</v>
      </c>
      <c r="E60" s="457">
        <v>28.2</v>
      </c>
      <c r="F60" s="451"/>
      <c r="G60" s="457">
        <v>26.2</v>
      </c>
      <c r="H60" s="458"/>
      <c r="I60" s="457">
        <v>218.88</v>
      </c>
      <c r="J60" s="458"/>
      <c r="K60" s="457"/>
      <c r="L60" s="458"/>
      <c r="M60" s="457" t="s">
        <v>213</v>
      </c>
      <c r="N60" s="457">
        <v>5.952</v>
      </c>
      <c r="O60" s="457">
        <v>2.7930000000000001</v>
      </c>
      <c r="P60" s="457"/>
      <c r="Q60" s="457">
        <v>2.7192982456140355</v>
      </c>
      <c r="R60" s="457">
        <v>1.2760416666666667</v>
      </c>
      <c r="S60" s="457">
        <v>1</v>
      </c>
      <c r="T60" s="457" t="s">
        <v>1447</v>
      </c>
      <c r="U60" s="457">
        <v>8.9733900304818176E-2</v>
      </c>
      <c r="V60" s="468">
        <v>1.1156732181084733E-2</v>
      </c>
      <c r="W60" s="457">
        <v>1.7779107266261969</v>
      </c>
      <c r="X60" s="457">
        <v>0.76985792745956849</v>
      </c>
      <c r="Y60" s="460">
        <v>600.26</v>
      </c>
      <c r="Z60" s="458"/>
      <c r="AA60" s="457">
        <v>42.75</v>
      </c>
      <c r="AB60" s="457">
        <v>0.2</v>
      </c>
      <c r="AC60" s="458"/>
      <c r="AD60" s="458"/>
    </row>
    <row r="61" spans="1:30" x14ac:dyDescent="0.3">
      <c r="A61" s="457" t="s">
        <v>1443</v>
      </c>
      <c r="B61" s="466">
        <v>43420</v>
      </c>
      <c r="C61" s="457" t="s">
        <v>1455</v>
      </c>
      <c r="D61" s="460" t="s">
        <v>197</v>
      </c>
      <c r="E61" s="457">
        <v>26.4</v>
      </c>
      <c r="F61" s="451"/>
      <c r="G61" s="457">
        <v>24.8</v>
      </c>
      <c r="H61" s="458"/>
      <c r="I61" s="457">
        <v>198.52</v>
      </c>
      <c r="J61" s="458"/>
      <c r="K61" s="457"/>
      <c r="L61" s="458"/>
      <c r="M61" s="457" t="s">
        <v>213</v>
      </c>
      <c r="N61" s="457">
        <v>1.72</v>
      </c>
      <c r="O61" s="457">
        <v>1.7989999999999999</v>
      </c>
      <c r="P61" s="457"/>
      <c r="Q61" s="457">
        <v>0.86641144469071119</v>
      </c>
      <c r="R61" s="457">
        <v>0.90620592383638932</v>
      </c>
      <c r="S61" s="457">
        <v>2</v>
      </c>
      <c r="T61" s="457" t="s">
        <v>1447</v>
      </c>
      <c r="U61" s="457">
        <v>9.2321945626047952E-2</v>
      </c>
      <c r="V61" s="468">
        <v>2.7777155816087855E-2</v>
      </c>
      <c r="W61" s="457">
        <v>5.8480597426705998</v>
      </c>
      <c r="X61" s="457">
        <v>1.063283589576477</v>
      </c>
      <c r="Y61" s="460">
        <v>1043.68</v>
      </c>
      <c r="Z61" s="458"/>
      <c r="AA61" s="457">
        <v>47.86</v>
      </c>
      <c r="AB61" s="457">
        <v>0</v>
      </c>
      <c r="AC61" s="458"/>
      <c r="AD61" s="458"/>
    </row>
    <row r="62" spans="1:30" x14ac:dyDescent="0.3">
      <c r="A62" s="457" t="s">
        <v>1443</v>
      </c>
      <c r="B62" s="466">
        <v>43420</v>
      </c>
      <c r="C62" s="457" t="s">
        <v>1456</v>
      </c>
      <c r="D62" s="460" t="s">
        <v>197</v>
      </c>
      <c r="E62" s="457">
        <v>26.5</v>
      </c>
      <c r="F62" s="451"/>
      <c r="G62" s="457">
        <v>24.8</v>
      </c>
      <c r="H62" s="458"/>
      <c r="I62" s="457">
        <v>148.47</v>
      </c>
      <c r="J62" s="458"/>
      <c r="K62" s="457"/>
      <c r="L62" s="458"/>
      <c r="M62" s="457" t="s">
        <v>210</v>
      </c>
      <c r="N62" s="457">
        <v>5.3999999999999999E-2</v>
      </c>
      <c r="O62" s="457">
        <v>0.876</v>
      </c>
      <c r="P62" s="457"/>
      <c r="Q62" s="457">
        <v>3.6370984037179234E-2</v>
      </c>
      <c r="R62" s="457">
        <v>0.59001818549201857</v>
      </c>
      <c r="S62" s="457">
        <v>1</v>
      </c>
      <c r="T62" s="457" t="s">
        <v>1340</v>
      </c>
      <c r="U62" s="457">
        <v>0.11982460160969832</v>
      </c>
      <c r="V62" s="468">
        <v>2.0499753115297635E-2</v>
      </c>
      <c r="W62" s="457">
        <v>10.873634089311382</v>
      </c>
      <c r="X62" s="457">
        <v>1.4797141760303305</v>
      </c>
      <c r="Y62" s="460">
        <v>368.54</v>
      </c>
      <c r="Z62" s="458"/>
      <c r="AA62" s="457">
        <v>34.869999999999997</v>
      </c>
      <c r="AB62" s="457">
        <v>0</v>
      </c>
      <c r="AC62" s="457">
        <v>168.43</v>
      </c>
      <c r="AD62" s="468">
        <v>10.199999999999999</v>
      </c>
    </row>
    <row r="63" spans="1:30" x14ac:dyDescent="0.3">
      <c r="A63" s="457" t="s">
        <v>1443</v>
      </c>
      <c r="B63" s="466">
        <v>43420</v>
      </c>
      <c r="C63" s="457" t="s">
        <v>1457</v>
      </c>
      <c r="D63" s="460" t="s">
        <v>197</v>
      </c>
      <c r="E63" s="457">
        <v>27.7</v>
      </c>
      <c r="F63" s="451"/>
      <c r="G63" s="457">
        <v>25.9</v>
      </c>
      <c r="H63" s="458"/>
      <c r="I63" s="457">
        <v>197.44</v>
      </c>
      <c r="J63" s="458"/>
      <c r="K63" s="457"/>
      <c r="L63" s="458"/>
      <c r="M63" s="457" t="s">
        <v>213</v>
      </c>
      <c r="N63" s="457">
        <v>1.5169999999999999</v>
      </c>
      <c r="O63" s="457">
        <v>1.361</v>
      </c>
      <c r="P63" s="457"/>
      <c r="Q63" s="457">
        <v>0.76833468395461912</v>
      </c>
      <c r="R63" s="457">
        <v>0.68932333873581841</v>
      </c>
      <c r="S63" s="457">
        <v>1</v>
      </c>
      <c r="T63" s="457" t="s">
        <v>1445</v>
      </c>
      <c r="U63" s="457">
        <v>7.873879388808791E-2</v>
      </c>
      <c r="V63" s="468">
        <v>4.3023776475344718E-3</v>
      </c>
      <c r="W63" s="457">
        <v>12.77849581145561</v>
      </c>
      <c r="X63" s="457">
        <v>2.1995956207710576</v>
      </c>
      <c r="Y63" s="460">
        <v>563.16</v>
      </c>
      <c r="Z63" s="458"/>
      <c r="AA63" s="457">
        <v>45.47</v>
      </c>
      <c r="AB63" s="457">
        <v>0</v>
      </c>
      <c r="AC63" s="458"/>
      <c r="AD63" s="458"/>
    </row>
    <row r="64" spans="1:30" x14ac:dyDescent="0.3">
      <c r="A64" s="457" t="s">
        <v>1443</v>
      </c>
      <c r="B64" s="466">
        <v>43420</v>
      </c>
      <c r="C64" s="457" t="s">
        <v>1458</v>
      </c>
      <c r="D64" s="460" t="s">
        <v>197</v>
      </c>
      <c r="E64" s="457">
        <v>26.5</v>
      </c>
      <c r="F64" s="451"/>
      <c r="G64" s="457">
        <v>24.9</v>
      </c>
      <c r="H64" s="458"/>
      <c r="I64" s="457">
        <v>168.09</v>
      </c>
      <c r="J64" s="458"/>
      <c r="K64" s="457"/>
      <c r="L64" s="458"/>
      <c r="M64" s="457" t="s">
        <v>213</v>
      </c>
      <c r="N64" s="457">
        <v>0.70199999999999996</v>
      </c>
      <c r="O64" s="457">
        <v>1.41</v>
      </c>
      <c r="P64" s="457"/>
      <c r="Q64" s="457">
        <v>0.41763341067285376</v>
      </c>
      <c r="R64" s="457">
        <v>0.83883633767624488</v>
      </c>
      <c r="S64" s="457">
        <v>2</v>
      </c>
      <c r="T64" s="457" t="s">
        <v>221</v>
      </c>
      <c r="U64" s="457">
        <v>9.9161543376346015E-2</v>
      </c>
      <c r="V64" s="468">
        <v>6.8423734784382791E-3</v>
      </c>
      <c r="W64" s="457">
        <v>4.5245082808045192</v>
      </c>
      <c r="X64" s="457">
        <v>0.7388491083312172</v>
      </c>
      <c r="Y64" s="460">
        <v>1162.1199999999999</v>
      </c>
      <c r="Z64" s="458"/>
      <c r="AA64" s="457">
        <v>44.04</v>
      </c>
      <c r="AB64" s="457">
        <v>0</v>
      </c>
      <c r="AC64" s="458"/>
      <c r="AD64" s="458"/>
    </row>
    <row r="65" spans="1:30" x14ac:dyDescent="0.3">
      <c r="A65" s="457" t="s">
        <v>1443</v>
      </c>
      <c r="B65" s="466">
        <v>43420</v>
      </c>
      <c r="C65" s="457" t="s">
        <v>1459</v>
      </c>
      <c r="D65" s="460" t="s">
        <v>197</v>
      </c>
      <c r="E65" s="457">
        <v>27.3</v>
      </c>
      <c r="F65" s="451"/>
      <c r="G65" s="457">
        <v>25.4</v>
      </c>
      <c r="H65" s="458"/>
      <c r="I65" s="457">
        <v>152.29</v>
      </c>
      <c r="J65" s="458"/>
      <c r="K65" s="457"/>
      <c r="L65" s="458"/>
      <c r="M65" s="457" t="s">
        <v>213</v>
      </c>
      <c r="N65" s="457">
        <v>0.81599999999999995</v>
      </c>
      <c r="O65" s="457">
        <v>0.99</v>
      </c>
      <c r="P65" s="457"/>
      <c r="Q65" s="457">
        <v>0.53581981745354257</v>
      </c>
      <c r="R65" s="457">
        <v>0.65007551382231277</v>
      </c>
      <c r="S65" s="457">
        <v>1</v>
      </c>
      <c r="T65" s="457" t="s">
        <v>221</v>
      </c>
      <c r="U65" s="457">
        <v>9.0228319256511966E-2</v>
      </c>
      <c r="V65" s="468">
        <v>6.2293648085642896E-3</v>
      </c>
      <c r="W65" s="457">
        <v>2.9227626650037561</v>
      </c>
      <c r="X65" s="457">
        <v>1.1932128614193882</v>
      </c>
      <c r="Y65" s="460">
        <v>835.79</v>
      </c>
      <c r="Z65" s="458"/>
      <c r="AA65" s="457">
        <v>47.78</v>
      </c>
      <c r="AB65" s="457">
        <v>0</v>
      </c>
      <c r="AC65" s="458"/>
      <c r="AD65" s="458"/>
    </row>
    <row r="66" spans="1:30" x14ac:dyDescent="0.3">
      <c r="A66" s="457" t="s">
        <v>1443</v>
      </c>
      <c r="B66" s="466">
        <v>43420</v>
      </c>
      <c r="C66" s="457" t="s">
        <v>1460</v>
      </c>
      <c r="D66" s="460" t="s">
        <v>197</v>
      </c>
      <c r="E66" s="457">
        <v>25.7</v>
      </c>
      <c r="F66" s="451"/>
      <c r="G66" s="457">
        <v>24</v>
      </c>
      <c r="H66" s="458"/>
      <c r="I66" s="457">
        <v>146.06</v>
      </c>
      <c r="J66" s="458"/>
      <c r="K66" s="457"/>
      <c r="L66" s="458"/>
      <c r="M66" s="457" t="s">
        <v>210</v>
      </c>
      <c r="N66" s="457">
        <v>0.11700000000000001</v>
      </c>
      <c r="O66" s="457">
        <v>1.8680000000000001</v>
      </c>
      <c r="P66" s="457"/>
      <c r="Q66" s="457">
        <v>8.0104066821854045E-2</v>
      </c>
      <c r="R66" s="457">
        <v>1.2789264685745585</v>
      </c>
      <c r="S66" s="457">
        <v>2</v>
      </c>
      <c r="T66" s="457" t="s">
        <v>1340</v>
      </c>
      <c r="U66" s="457">
        <v>9.7185294128998886E-2</v>
      </c>
      <c r="V66" s="468">
        <v>1.1686683977520929E-2</v>
      </c>
      <c r="W66" s="457">
        <v>5.9650548901665754</v>
      </c>
      <c r="X66" s="457">
        <v>0.79534065202221826</v>
      </c>
      <c r="Y66" s="460">
        <v>570.91</v>
      </c>
      <c r="Z66" s="458"/>
      <c r="AA66" s="457">
        <v>43.29</v>
      </c>
      <c r="AB66" s="457">
        <v>0</v>
      </c>
      <c r="AC66" s="457">
        <v>225.99</v>
      </c>
      <c r="AD66" s="468">
        <v>47.6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1"/>
  <sheetViews>
    <sheetView workbookViewId="0">
      <selection activeCell="N34" sqref="N34"/>
    </sheetView>
  </sheetViews>
  <sheetFormatPr baseColWidth="10" defaultRowHeight="14.4" x14ac:dyDescent="0.3"/>
  <sheetData>
    <row r="1" spans="1:8" ht="16.2" thickBot="1" x14ac:dyDescent="0.35">
      <c r="A1" s="434" t="s">
        <v>1366</v>
      </c>
      <c r="B1" s="435" t="s">
        <v>1367</v>
      </c>
      <c r="C1" s="435" t="s">
        <v>1368</v>
      </c>
      <c r="D1" s="436" t="s">
        <v>1369</v>
      </c>
      <c r="E1" s="435" t="s">
        <v>1370</v>
      </c>
      <c r="F1" s="435" t="s">
        <v>1372</v>
      </c>
      <c r="G1" s="435" t="s">
        <v>1374</v>
      </c>
      <c r="H1" s="435" t="s">
        <v>1376</v>
      </c>
    </row>
    <row r="2" spans="1:8" x14ac:dyDescent="0.3">
      <c r="A2" s="438" t="s">
        <v>1389</v>
      </c>
      <c r="B2" s="439">
        <v>43033</v>
      </c>
      <c r="C2" s="440" t="s">
        <v>1461</v>
      </c>
      <c r="D2" s="441" t="s">
        <v>195</v>
      </c>
      <c r="E2" s="440">
        <v>11.5</v>
      </c>
      <c r="F2" s="440">
        <v>10.5</v>
      </c>
      <c r="G2" s="440">
        <v>12.11</v>
      </c>
      <c r="H2" s="440">
        <v>10.32</v>
      </c>
    </row>
    <row r="3" spans="1:8" x14ac:dyDescent="0.3">
      <c r="A3" s="469" t="s">
        <v>1389</v>
      </c>
      <c r="B3" s="466">
        <v>43033</v>
      </c>
      <c r="C3" s="457" t="s">
        <v>1462</v>
      </c>
      <c r="D3" s="460" t="s">
        <v>195</v>
      </c>
      <c r="E3" s="457">
        <v>12.5</v>
      </c>
      <c r="F3" s="457">
        <v>11.5</v>
      </c>
      <c r="G3" s="457">
        <v>14.11</v>
      </c>
      <c r="H3" s="457">
        <v>12</v>
      </c>
    </row>
    <row r="4" spans="1:8" x14ac:dyDescent="0.3">
      <c r="A4" s="469" t="s">
        <v>1389</v>
      </c>
      <c r="B4" s="466">
        <v>43033</v>
      </c>
      <c r="C4" s="457" t="s">
        <v>1463</v>
      </c>
      <c r="D4" s="460" t="s">
        <v>195</v>
      </c>
      <c r="E4" s="457">
        <v>9</v>
      </c>
      <c r="F4" s="457">
        <v>8</v>
      </c>
      <c r="G4" s="457">
        <v>5.1100000000000003</v>
      </c>
      <c r="H4" s="457">
        <v>3.84</v>
      </c>
    </row>
    <row r="5" spans="1:8" x14ac:dyDescent="0.3">
      <c r="A5" s="469" t="s">
        <v>1389</v>
      </c>
      <c r="B5" s="466">
        <v>43033</v>
      </c>
      <c r="C5" s="457" t="s">
        <v>1464</v>
      </c>
      <c r="D5" s="460" t="s">
        <v>195</v>
      </c>
      <c r="E5" s="457">
        <v>10</v>
      </c>
      <c r="F5" s="457">
        <v>9.5</v>
      </c>
      <c r="G5" s="457">
        <v>8.5</v>
      </c>
      <c r="H5" s="457">
        <v>6.06</v>
      </c>
    </row>
    <row r="6" spans="1:8" x14ac:dyDescent="0.3">
      <c r="A6" s="469" t="s">
        <v>1389</v>
      </c>
      <c r="B6" s="466">
        <v>43033</v>
      </c>
      <c r="C6" s="457" t="s">
        <v>1465</v>
      </c>
      <c r="D6" s="460" t="s">
        <v>195</v>
      </c>
      <c r="E6" s="457">
        <v>10</v>
      </c>
      <c r="F6" s="457">
        <v>9</v>
      </c>
      <c r="G6" s="457">
        <v>8.9499999999999993</v>
      </c>
      <c r="H6" s="457">
        <v>7.16</v>
      </c>
    </row>
    <row r="7" spans="1:8" x14ac:dyDescent="0.3">
      <c r="A7" s="469" t="s">
        <v>1389</v>
      </c>
      <c r="B7" s="466">
        <v>43033</v>
      </c>
      <c r="C7" s="457" t="s">
        <v>1466</v>
      </c>
      <c r="D7" s="460" t="s">
        <v>195</v>
      </c>
      <c r="E7" s="457">
        <v>14</v>
      </c>
      <c r="F7" s="457">
        <v>13</v>
      </c>
      <c r="G7" s="457">
        <v>21.26</v>
      </c>
      <c r="H7" s="457">
        <v>17.8</v>
      </c>
    </row>
    <row r="8" spans="1:8" x14ac:dyDescent="0.3">
      <c r="A8" s="469" t="s">
        <v>1389</v>
      </c>
      <c r="B8" s="466">
        <v>43033</v>
      </c>
      <c r="C8" s="457" t="s">
        <v>1467</v>
      </c>
      <c r="D8" s="460" t="s">
        <v>195</v>
      </c>
      <c r="E8" s="457">
        <v>12.5</v>
      </c>
      <c r="F8" s="457">
        <v>11.5</v>
      </c>
      <c r="G8" s="457">
        <v>15.19</v>
      </c>
      <c r="H8" s="457">
        <v>13.51</v>
      </c>
    </row>
    <row r="9" spans="1:8" x14ac:dyDescent="0.3">
      <c r="A9" s="469" t="s">
        <v>1389</v>
      </c>
      <c r="B9" s="466">
        <v>43033</v>
      </c>
      <c r="C9" s="457" t="s">
        <v>1468</v>
      </c>
      <c r="D9" s="460" t="s">
        <v>195</v>
      </c>
      <c r="E9" s="457">
        <v>11.5</v>
      </c>
      <c r="F9" s="457">
        <v>10.5</v>
      </c>
      <c r="G9" s="457">
        <v>10.45</v>
      </c>
      <c r="H9" s="457">
        <v>9.36</v>
      </c>
    </row>
    <row r="10" spans="1:8" x14ac:dyDescent="0.3">
      <c r="A10" s="469" t="s">
        <v>1389</v>
      </c>
      <c r="B10" s="466">
        <v>43033</v>
      </c>
      <c r="C10" s="457" t="s">
        <v>1469</v>
      </c>
      <c r="D10" s="460" t="s">
        <v>195</v>
      </c>
      <c r="E10" s="457">
        <v>11</v>
      </c>
      <c r="F10" s="457">
        <v>10.5</v>
      </c>
      <c r="G10" s="457">
        <v>12.16</v>
      </c>
      <c r="H10" s="457">
        <v>9.4700000000000006</v>
      </c>
    </row>
    <row r="11" spans="1:8" ht="15" thickBot="1" x14ac:dyDescent="0.35">
      <c r="A11" s="470" t="s">
        <v>1389</v>
      </c>
      <c r="B11" s="471">
        <v>43033</v>
      </c>
      <c r="C11" s="472" t="s">
        <v>1470</v>
      </c>
      <c r="D11" s="473" t="s">
        <v>195</v>
      </c>
      <c r="E11" s="472">
        <v>11.5</v>
      </c>
      <c r="F11" s="472">
        <v>11</v>
      </c>
      <c r="G11" s="472">
        <v>12.2</v>
      </c>
      <c r="H11" s="472">
        <v>11.12</v>
      </c>
    </row>
    <row r="12" spans="1:8" x14ac:dyDescent="0.3">
      <c r="A12" s="438" t="s">
        <v>1389</v>
      </c>
      <c r="B12" s="439">
        <v>43033</v>
      </c>
      <c r="C12" s="440" t="s">
        <v>1471</v>
      </c>
      <c r="D12" s="441" t="s">
        <v>195</v>
      </c>
      <c r="E12" s="440">
        <v>11</v>
      </c>
      <c r="F12" s="440">
        <v>10.5</v>
      </c>
      <c r="G12" s="440">
        <v>10.5</v>
      </c>
      <c r="H12" s="440">
        <v>8.85</v>
      </c>
    </row>
    <row r="13" spans="1:8" x14ac:dyDescent="0.3">
      <c r="A13" s="469" t="s">
        <v>1389</v>
      </c>
      <c r="B13" s="466">
        <v>43033</v>
      </c>
      <c r="C13" s="457" t="s">
        <v>1472</v>
      </c>
      <c r="D13" s="460" t="s">
        <v>195</v>
      </c>
      <c r="E13" s="457">
        <v>13</v>
      </c>
      <c r="F13" s="457">
        <v>12.1</v>
      </c>
      <c r="G13" s="457">
        <v>18.309999999999999</v>
      </c>
      <c r="H13" s="457">
        <v>16.649999999999999</v>
      </c>
    </row>
    <row r="14" spans="1:8" x14ac:dyDescent="0.3">
      <c r="A14" s="469" t="s">
        <v>1389</v>
      </c>
      <c r="B14" s="466">
        <v>43033</v>
      </c>
      <c r="C14" s="457" t="s">
        <v>1473</v>
      </c>
      <c r="D14" s="460" t="s">
        <v>195</v>
      </c>
      <c r="E14" s="457">
        <v>10.199999999999999</v>
      </c>
      <c r="F14" s="457">
        <v>9.1999999999999993</v>
      </c>
      <c r="G14" s="457">
        <v>7.59</v>
      </c>
      <c r="H14" s="457">
        <v>6.65</v>
      </c>
    </row>
    <row r="15" spans="1:8" x14ac:dyDescent="0.3">
      <c r="A15" s="469" t="s">
        <v>1389</v>
      </c>
      <c r="B15" s="466">
        <v>43033</v>
      </c>
      <c r="C15" s="457" t="s">
        <v>1474</v>
      </c>
      <c r="D15" s="460" t="s">
        <v>195</v>
      </c>
      <c r="E15" s="457">
        <v>12.6</v>
      </c>
      <c r="F15" s="457">
        <v>11.6</v>
      </c>
      <c r="G15" s="457">
        <v>14.81</v>
      </c>
      <c r="H15" s="457">
        <v>12.49</v>
      </c>
    </row>
    <row r="16" spans="1:8" x14ac:dyDescent="0.3">
      <c r="A16" s="469" t="s">
        <v>1389</v>
      </c>
      <c r="B16" s="466">
        <v>43033</v>
      </c>
      <c r="C16" s="457" t="s">
        <v>1475</v>
      </c>
      <c r="D16" s="460" t="s">
        <v>195</v>
      </c>
      <c r="E16" s="457">
        <v>11.3</v>
      </c>
      <c r="F16" s="457">
        <v>10.4</v>
      </c>
      <c r="G16" s="457">
        <v>12.05</v>
      </c>
      <c r="H16" s="457">
        <v>10.3</v>
      </c>
    </row>
    <row r="17" spans="1:8" x14ac:dyDescent="0.3">
      <c r="A17" s="469" t="s">
        <v>1389</v>
      </c>
      <c r="B17" s="466">
        <v>43033</v>
      </c>
      <c r="C17" s="457" t="s">
        <v>1476</v>
      </c>
      <c r="D17" s="460" t="s">
        <v>195</v>
      </c>
      <c r="E17" s="457">
        <v>10.199999999999999</v>
      </c>
      <c r="F17" s="457">
        <v>9.6</v>
      </c>
      <c r="G17" s="457">
        <v>6.65</v>
      </c>
      <c r="H17" s="457">
        <v>9.3800000000000008</v>
      </c>
    </row>
    <row r="18" spans="1:8" x14ac:dyDescent="0.3">
      <c r="A18" s="469" t="s">
        <v>1389</v>
      </c>
      <c r="B18" s="466">
        <v>43033</v>
      </c>
      <c r="C18" s="457" t="s">
        <v>1477</v>
      </c>
      <c r="D18" s="460" t="s">
        <v>195</v>
      </c>
      <c r="E18" s="457">
        <v>10.7</v>
      </c>
      <c r="F18" s="457">
        <v>10.199999999999999</v>
      </c>
      <c r="G18" s="457">
        <v>6.45</v>
      </c>
      <c r="H18" s="457">
        <v>5.45</v>
      </c>
    </row>
    <row r="19" spans="1:8" x14ac:dyDescent="0.3">
      <c r="A19" s="469" t="s">
        <v>1389</v>
      </c>
      <c r="B19" s="466">
        <v>43033</v>
      </c>
      <c r="C19" s="457" t="s">
        <v>1478</v>
      </c>
      <c r="D19" s="460" t="s">
        <v>195</v>
      </c>
      <c r="E19" s="457">
        <v>10.1</v>
      </c>
      <c r="F19" s="457">
        <v>9.1</v>
      </c>
      <c r="G19" s="457">
        <v>6.91</v>
      </c>
      <c r="H19" s="457">
        <v>5.38</v>
      </c>
    </row>
    <row r="20" spans="1:8" x14ac:dyDescent="0.3">
      <c r="A20" s="469" t="s">
        <v>1389</v>
      </c>
      <c r="B20" s="466">
        <v>43033</v>
      </c>
      <c r="C20" s="457" t="s">
        <v>1479</v>
      </c>
      <c r="D20" s="460" t="s">
        <v>195</v>
      </c>
      <c r="E20" s="457">
        <v>9.6</v>
      </c>
      <c r="F20" s="457">
        <v>9.1999999999999993</v>
      </c>
      <c r="G20" s="457">
        <v>5.5</v>
      </c>
      <c r="H20" s="457">
        <v>4.4400000000000004</v>
      </c>
    </row>
    <row r="21" spans="1:8" ht="15" thickBot="1" x14ac:dyDescent="0.35">
      <c r="A21" s="470" t="s">
        <v>1389</v>
      </c>
      <c r="B21" s="471">
        <v>43033</v>
      </c>
      <c r="C21" s="472" t="s">
        <v>1480</v>
      </c>
      <c r="D21" s="473" t="s">
        <v>195</v>
      </c>
      <c r="E21" s="472">
        <v>8.6999999999999993</v>
      </c>
      <c r="F21" s="472">
        <v>8.1</v>
      </c>
      <c r="G21" s="472">
        <v>3.65</v>
      </c>
      <c r="H21" s="472">
        <v>2.85</v>
      </c>
    </row>
    <row r="22" spans="1:8" x14ac:dyDescent="0.3">
      <c r="A22" s="438" t="s">
        <v>1389</v>
      </c>
      <c r="B22" s="439">
        <v>43034</v>
      </c>
      <c r="C22" s="440" t="s">
        <v>1392</v>
      </c>
      <c r="D22" s="441" t="s">
        <v>195</v>
      </c>
      <c r="E22" s="440">
        <v>12.5</v>
      </c>
      <c r="F22" s="440">
        <v>12.1</v>
      </c>
      <c r="G22" s="440">
        <v>17.5</v>
      </c>
      <c r="H22" s="440">
        <v>15.45</v>
      </c>
    </row>
    <row r="23" spans="1:8" x14ac:dyDescent="0.3">
      <c r="A23" s="469" t="s">
        <v>1389</v>
      </c>
      <c r="B23" s="466">
        <v>43034</v>
      </c>
      <c r="C23" s="457" t="s">
        <v>1481</v>
      </c>
      <c r="D23" s="460" t="s">
        <v>195</v>
      </c>
      <c r="E23" s="457">
        <v>11.2</v>
      </c>
      <c r="F23" s="457">
        <v>10.7</v>
      </c>
      <c r="G23" s="457">
        <v>11.5</v>
      </c>
      <c r="H23" s="457">
        <v>9.85</v>
      </c>
    </row>
    <row r="24" spans="1:8" x14ac:dyDescent="0.3">
      <c r="A24" s="469" t="s">
        <v>1389</v>
      </c>
      <c r="B24" s="466">
        <v>43034</v>
      </c>
      <c r="C24" s="457" t="s">
        <v>1482</v>
      </c>
      <c r="D24" s="460" t="s">
        <v>195</v>
      </c>
      <c r="E24" s="457">
        <v>11.4</v>
      </c>
      <c r="F24" s="457">
        <v>10.199999999999999</v>
      </c>
      <c r="G24" s="457">
        <v>12.79</v>
      </c>
      <c r="H24" s="457">
        <v>11.12</v>
      </c>
    </row>
    <row r="25" spans="1:8" x14ac:dyDescent="0.3">
      <c r="A25" s="469" t="s">
        <v>1389</v>
      </c>
      <c r="B25" s="466">
        <v>43034</v>
      </c>
      <c r="C25" s="457" t="s">
        <v>1483</v>
      </c>
      <c r="D25" s="460" t="s">
        <v>195</v>
      </c>
      <c r="E25" s="457">
        <v>10.1</v>
      </c>
      <c r="F25" s="457">
        <v>9.6</v>
      </c>
      <c r="G25" s="457">
        <v>7.15</v>
      </c>
      <c r="H25" s="457">
        <v>6.17</v>
      </c>
    </row>
    <row r="26" spans="1:8" x14ac:dyDescent="0.3">
      <c r="A26" s="469" t="s">
        <v>1389</v>
      </c>
      <c r="B26" s="466">
        <v>43034</v>
      </c>
      <c r="C26" s="457" t="s">
        <v>1484</v>
      </c>
      <c r="D26" s="460" t="s">
        <v>195</v>
      </c>
      <c r="E26" s="457">
        <v>16.2</v>
      </c>
      <c r="F26" s="457">
        <v>14.1</v>
      </c>
      <c r="G26" s="457">
        <v>34.97</v>
      </c>
      <c r="H26" s="457">
        <v>29.7</v>
      </c>
    </row>
    <row r="27" spans="1:8" x14ac:dyDescent="0.3">
      <c r="A27" s="469" t="s">
        <v>1389</v>
      </c>
      <c r="B27" s="466">
        <v>43034</v>
      </c>
      <c r="C27" s="457" t="s">
        <v>1485</v>
      </c>
      <c r="D27" s="460" t="s">
        <v>195</v>
      </c>
      <c r="E27" s="457">
        <v>14.6</v>
      </c>
      <c r="F27" s="457">
        <v>13.1</v>
      </c>
      <c r="G27" s="457">
        <v>23.15</v>
      </c>
      <c r="H27" s="457">
        <v>20.07</v>
      </c>
    </row>
    <row r="28" spans="1:8" x14ac:dyDescent="0.3">
      <c r="A28" s="469" t="s">
        <v>1389</v>
      </c>
      <c r="B28" s="466">
        <v>43034</v>
      </c>
      <c r="C28" s="457" t="s">
        <v>1486</v>
      </c>
      <c r="D28" s="460" t="s">
        <v>195</v>
      </c>
      <c r="E28" s="457">
        <v>13.7</v>
      </c>
      <c r="F28" s="457">
        <v>11.9</v>
      </c>
      <c r="G28" s="457">
        <v>21.59</v>
      </c>
      <c r="H28" s="457">
        <v>18.04</v>
      </c>
    </row>
    <row r="29" spans="1:8" x14ac:dyDescent="0.3">
      <c r="A29" s="469" t="s">
        <v>1389</v>
      </c>
      <c r="B29" s="466">
        <v>43034</v>
      </c>
      <c r="C29" s="457" t="s">
        <v>1487</v>
      </c>
      <c r="D29" s="460" t="s">
        <v>195</v>
      </c>
      <c r="E29" s="457">
        <v>12.4</v>
      </c>
      <c r="F29" s="457">
        <v>10.6</v>
      </c>
      <c r="G29" s="457">
        <v>14.3</v>
      </c>
      <c r="H29" s="457">
        <v>12.74</v>
      </c>
    </row>
    <row r="30" spans="1:8" x14ac:dyDescent="0.3">
      <c r="A30" s="469" t="s">
        <v>1389</v>
      </c>
      <c r="B30" s="466">
        <v>43034</v>
      </c>
      <c r="C30" s="457" t="s">
        <v>1488</v>
      </c>
      <c r="D30" s="460" t="s">
        <v>195</v>
      </c>
      <c r="E30" s="457">
        <v>12.9</v>
      </c>
      <c r="F30" s="457">
        <v>11.4</v>
      </c>
      <c r="G30" s="457">
        <v>19.93</v>
      </c>
      <c r="H30" s="457">
        <v>15.98</v>
      </c>
    </row>
    <row r="31" spans="1:8" ht="15" thickBot="1" x14ac:dyDescent="0.35">
      <c r="A31" s="470" t="s">
        <v>1389</v>
      </c>
      <c r="B31" s="471">
        <v>43034</v>
      </c>
      <c r="C31" s="472" t="s">
        <v>1489</v>
      </c>
      <c r="D31" s="473" t="s">
        <v>195</v>
      </c>
      <c r="E31" s="472">
        <v>12.8</v>
      </c>
      <c r="F31" s="472">
        <v>11.3</v>
      </c>
      <c r="G31" s="472">
        <v>12.51</v>
      </c>
      <c r="H31" s="472">
        <v>10.9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</vt:i4>
      </vt:variant>
    </vt:vector>
  </HeadingPairs>
  <TitlesOfParts>
    <vt:vector size="14" baseType="lpstr">
      <vt:lpstr>INFO_BDD</vt:lpstr>
      <vt:lpstr>INFO_contam</vt:lpstr>
      <vt:lpstr>INFO_benthos</vt:lpstr>
      <vt:lpstr>INFO_BDD_biomark</vt:lpstr>
      <vt:lpstr>sediment</vt:lpstr>
      <vt:lpstr>benthos</vt:lpstr>
      <vt:lpstr>soles</vt:lpstr>
      <vt:lpstr>solesG0pools</vt:lpstr>
      <vt:lpstr>soles_G2_organotr</vt:lpstr>
      <vt:lpstr>isotopes_benth_CAPES</vt:lpstr>
      <vt:lpstr>isotopes_fish_CAPES</vt:lpstr>
      <vt:lpstr>sole_biomark</vt:lpstr>
      <vt:lpstr>sole_G0pool_biomark</vt:lpstr>
      <vt:lpstr>isotopes_fish_CAPES!_FilterDatabase</vt:lpstr>
    </vt:vector>
  </TitlesOfParts>
  <Manager>florence.mounier@inrae.fr</Manager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florence.mounier@inrae.fr</dc:creator>
  <cp:lastModifiedBy>Florence Mounier</cp:lastModifiedBy>
  <dcterms:created xsi:type="dcterms:W3CDTF">2019-11-22T09:21:51Z</dcterms:created>
  <dcterms:modified xsi:type="dcterms:W3CDTF">2026-09-16T09:50:54Z</dcterms:modified>
</cp:coreProperties>
</file>